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rsl479_ku_dk/Documents/Edouard_Postdoc_Hemiptera/Bioinfo/Multigene_phylogeny/Git_hub_folder/Ophiocordyceps-nutans-study/data/"/>
    </mc:Choice>
  </mc:AlternateContent>
  <xr:revisionPtr revIDLastSave="8" documentId="8_{56BC609A-974F-9148-8D35-723ABE9E7020}" xr6:coauthVersionLast="47" xr6:coauthVersionMax="47" xr10:uidLastSave="{E342AB0C-E1D7-4248-8C24-2D9EC5575128}"/>
  <bookViews>
    <workbookView xWindow="1340" yWindow="1260" windowWidth="27640" windowHeight="16580" xr2:uid="{22717036-7D58-E341-8D1F-BA04CF0D2167}"/>
  </bookViews>
  <sheets>
    <sheet name="DNA_samples" sheetId="2" r:id="rId1"/>
  </sheets>
  <definedNames>
    <definedName name="_xlnm.Print_Area" localSheetId="0">DNA_samples!$A$1:$G$9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<sst xmlns="http://schemas.openxmlformats.org/spreadsheetml/2006/main" count="74" uniqueCount="36">
  <si>
    <t>Sample ID</t>
  </si>
  <si>
    <t>Insect Host</t>
  </si>
  <si>
    <t>Sample Type</t>
  </si>
  <si>
    <t>Pathogen ID</t>
  </si>
  <si>
    <t>Location</t>
  </si>
  <si>
    <t>Collection date</t>
  </si>
  <si>
    <t>Extraction Date</t>
  </si>
  <si>
    <t>Nanodrop 260/280</t>
  </si>
  <si>
    <t>Nanodrop 260/230</t>
  </si>
  <si>
    <t>C Nanodrop (ng/µl)</t>
  </si>
  <si>
    <t>C Qubit (ng/µl)</t>
  </si>
  <si>
    <t>Total Yield (µg)</t>
  </si>
  <si>
    <t>Comments</t>
  </si>
  <si>
    <t>203_A</t>
  </si>
  <si>
    <t>Pentatomidae</t>
  </si>
  <si>
    <t>Air dried fungus</t>
  </si>
  <si>
    <t>Ophiordyceps nutans</t>
  </si>
  <si>
    <t>Napo, Ecuador</t>
  </si>
  <si>
    <t>April 2004</t>
  </si>
  <si>
    <t>TissueLyser, 2 steel beads 2.7mm</t>
  </si>
  <si>
    <t>203_B</t>
  </si>
  <si>
    <t>204_A</t>
  </si>
  <si>
    <t>Ghana</t>
  </si>
  <si>
    <t>204_B</t>
  </si>
  <si>
    <t>205_A</t>
  </si>
  <si>
    <t>Bia National Park, Ghana</t>
  </si>
  <si>
    <t>October 2003</t>
  </si>
  <si>
    <t>205_B</t>
  </si>
  <si>
    <t>206_A</t>
  </si>
  <si>
    <t>Doi Suttep, Chiang Mai (1300 m), Thailand</t>
  </si>
  <si>
    <t>206_B</t>
  </si>
  <si>
    <t>Out of range</t>
  </si>
  <si>
    <t>NA</t>
  </si>
  <si>
    <t>NC</t>
  </si>
  <si>
    <t>Negative control (blank)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</si>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</sst>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"/>
    <numFmt numFmtId="166" formatCode="dd/mm/yyyy;@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/>
    <xf numFmtId="49" fontId="1" fillId="0" borderId="0" xfId="1" applyNumberFormat="1" applyAlignment="1">
      <alignment horizontal="right"/>
    </xf>
    <xf numFmtId="164" fontId="1" fillId="0" borderId="0" xfId="1" applyNumberFormat="1" applyAlignment="1">
      <alignment horizontal="right"/>
    </xf>
    <xf numFmtId="165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0" fontId="3" fillId="0" borderId="0" xfId="1" applyFont="1" applyAlignment="1">
      <alignment wrapText="1"/>
    </xf>
    <xf numFmtId="0" fontId="1" fillId="0" borderId="0" xfId="1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0" xfId="1" applyNumberFormat="1"/>
  </cellXfs>
  <cellStyles count="2">
    <cellStyle name="Normal" xfId="0" builtinId="0"/>
    <cellStyle name="Normal 2" xfId="1" xr:uid="{C2BF21AA-A41D-5743-A6A8-5DFED18A3633}"/>
  </cellStyles>
  <dxfs count="1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75F24-5F0E-114C-A5DD-7E7E599D0828}" name="Table2" displayName="Table2" ref="A1:M10" totalsRowShown="0" headerRowDxfId="14" dataDxfId="13">
  <autoFilter ref="A1:M10" xr:uid="{00000000-0009-0000-0100-000001000000}"/>
  <tableColumns count="13">
    <tableColumn id="2" xr3:uid="{0380A35C-0E97-2C42-8FF7-4926C672988F}" name="Sample ID" dataDxfId="12"/>
    <tableColumn id="3" xr3:uid="{1DD1AE57-24EB-E44B-B4A9-AAEA78F9DBB3}" name="Insect Host" dataDxfId="11"/>
    <tableColumn id="5" xr3:uid="{8C42392B-F446-1C4D-8785-C8A19E0A5A2A}" name="Sample Type" dataDxfId="10"/>
    <tableColumn id="6" xr3:uid="{54486772-56AC-5440-9838-03DC550FCD8C}" name="Pathogen ID" dataDxfId="9"/>
    <tableColumn id="7" xr3:uid="{67E1F6F4-1743-5D46-9A13-E71045603EEE}" name="Location" dataDxfId="8"/>
    <tableColumn id="8" xr3:uid="{BFC5D40E-F2AB-6B47-8355-0588C8176470}" name="Collection date" dataDxfId="7"/>
    <tableColumn id="10" xr3:uid="{78487B93-FEA8-1143-BA3C-DB0909E1D218}" name="Extraction Date" dataDxfId="6"/>
    <tableColumn id="11" xr3:uid="{B4C6CB01-20F7-7D41-AE2B-270E59A20EF3}" name="Nanodrop 260/280" dataDxfId="5"/>
    <tableColumn id="12" xr3:uid="{E79D0191-87CD-5543-87FE-BD5BCF79D64E}" name="Nanodrop 260/230" dataDxfId="4"/>
    <tableColumn id="13" xr3:uid="{592DEAA1-C1AC-C542-A5B3-C39036839C27}" name="C Nanodrop (ng/µl)" dataDxfId="3"/>
    <tableColumn id="14" xr3:uid="{6294A9AA-EF42-744F-98F0-E89E34C4BFF6}" name="C Qubit (ng/µl)" dataDxfId="2"/>
    <tableColumn id="15" xr3:uid="{F83FCB93-AF1D-364E-92FC-4001A992EBCA}" name="Total Yield (µg)" dataDxfId="1"/>
    <tableColumn id="16" xr3:uid="{E0BD107B-134F-894A-8CBB-7A3FA6EABD48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A7B4-3B3A-1E4F-BBC7-7AB5C81C86A8}">
  <sheetPr>
    <pageSetUpPr fitToPage="1"/>
  </sheetPr>
  <dimension ref="A1:M10"/>
  <sheetViews>
    <sheetView tabSelected="1" zoomScale="114" zoomScaleNormal="114" workbookViewId="0">
      <selection activeCell="E11" sqref="E11"/>
    </sheetView>
  </sheetViews>
  <sheetFormatPr baseColWidth="10" defaultColWidth="8.83203125" defaultRowHeight="15" x14ac:dyDescent="0.2"/>
  <cols>
    <col min="1" max="1" width="11.5" style="3" customWidth="1"/>
    <col min="2" max="2" width="13.6640625" style="3" customWidth="1"/>
    <col min="3" max="3" width="19.5" style="3" customWidth="1"/>
    <col min="4" max="4" width="19.6640625" style="3" customWidth="1"/>
    <col min="5" max="5" width="37.1640625" style="3" customWidth="1"/>
    <col min="6" max="6" width="15.5" style="3" customWidth="1"/>
    <col min="7" max="7" width="12.1640625" style="3" customWidth="1"/>
    <col min="8" max="8" width="11.1640625" style="3" customWidth="1"/>
    <col min="9" max="9" width="10.1640625" style="3" customWidth="1"/>
    <col min="10" max="11" width="12.5" style="3" customWidth="1"/>
    <col min="12" max="12" width="9.5" style="3" customWidth="1"/>
    <col min="13" max="13" width="21.5" style="3" customWidth="1"/>
    <col min="14" max="16384" width="8.83203125" style="3"/>
  </cols>
  <sheetData>
    <row r="1" spans="1:13" s="2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5">
        <v>45862</v>
      </c>
      <c r="H2" s="6">
        <v>2.0590000000000002</v>
      </c>
      <c r="I2" s="6">
        <v>2.0230000000000001</v>
      </c>
      <c r="J2" s="6">
        <v>376.62400000000002</v>
      </c>
      <c r="K2" s="6">
        <v>34.5</v>
      </c>
      <c r="L2" s="7">
        <f>Table2[[#This Row],[C Qubit (ng/µl)]]*30*0.001</f>
        <v>1.0349999999999999</v>
      </c>
      <c r="M2" s="8" t="s">
        <v>19</v>
      </c>
    </row>
    <row r="3" spans="1:13" ht="27" x14ac:dyDescent="0.2">
      <c r="A3" s="3" t="s">
        <v>20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18</v>
      </c>
      <c r="G3" s="5">
        <v>45862</v>
      </c>
      <c r="H3" s="6">
        <v>1.849</v>
      </c>
      <c r="I3" s="6">
        <v>1.58</v>
      </c>
      <c r="J3" s="6">
        <v>49.765999999999998</v>
      </c>
      <c r="K3" s="6">
        <v>3.45</v>
      </c>
      <c r="L3" s="7">
        <f>Table2[[#This Row],[C Qubit (ng/µl)]]*30*0.001</f>
        <v>0.10350000000000001</v>
      </c>
      <c r="M3" s="8" t="s">
        <v>19</v>
      </c>
    </row>
    <row r="4" spans="1:13" ht="27" x14ac:dyDescent="0.2">
      <c r="A4" s="3" t="s">
        <v>21</v>
      </c>
      <c r="B4" s="3" t="s">
        <v>14</v>
      </c>
      <c r="C4" s="3" t="s">
        <v>15</v>
      </c>
      <c r="D4" s="3" t="s">
        <v>16</v>
      </c>
      <c r="E4" s="3" t="s">
        <v>22</v>
      </c>
      <c r="F4" s="9">
        <v>2003</v>
      </c>
      <c r="G4" s="5">
        <v>45862</v>
      </c>
      <c r="H4" s="6">
        <v>2.02</v>
      </c>
      <c r="I4" s="6">
        <v>2.3039999999999998</v>
      </c>
      <c r="J4" s="6">
        <v>601.39599999999996</v>
      </c>
      <c r="K4" s="6">
        <v>55</v>
      </c>
      <c r="L4" s="7">
        <f>Table2[[#This Row],[C Qubit (ng/µl)]]*30*0.001</f>
        <v>1.6500000000000001</v>
      </c>
      <c r="M4" s="8" t="s">
        <v>19</v>
      </c>
    </row>
    <row r="5" spans="1:13" ht="27" x14ac:dyDescent="0.2">
      <c r="A5" s="3" t="s">
        <v>23</v>
      </c>
      <c r="B5" s="3" t="s">
        <v>14</v>
      </c>
      <c r="C5" s="3" t="s">
        <v>15</v>
      </c>
      <c r="D5" s="3" t="s">
        <v>16</v>
      </c>
      <c r="E5" s="3" t="s">
        <v>22</v>
      </c>
      <c r="F5" s="9">
        <v>2003</v>
      </c>
      <c r="G5" s="5">
        <v>45862</v>
      </c>
      <c r="H5" s="6">
        <v>1.9410000000000001</v>
      </c>
      <c r="I5" s="6">
        <v>2.008</v>
      </c>
      <c r="J5" s="6">
        <v>392.45299999999997</v>
      </c>
      <c r="K5" s="6">
        <v>40</v>
      </c>
      <c r="L5" s="7">
        <f>Table2[[#This Row],[C Qubit (ng/µl)]]*30*0.001</f>
        <v>1.2</v>
      </c>
      <c r="M5" s="8" t="s">
        <v>19</v>
      </c>
    </row>
    <row r="6" spans="1:13" ht="27" x14ac:dyDescent="0.2">
      <c r="A6" s="3" t="s">
        <v>24</v>
      </c>
      <c r="B6" s="3" t="s">
        <v>14</v>
      </c>
      <c r="C6" s="3" t="s">
        <v>15</v>
      </c>
      <c r="D6" s="3" t="s">
        <v>16</v>
      </c>
      <c r="E6" s="3" t="s">
        <v>25</v>
      </c>
      <c r="F6" s="4" t="s">
        <v>26</v>
      </c>
      <c r="G6" s="5">
        <v>45862</v>
      </c>
      <c r="H6" s="6">
        <v>1.994</v>
      </c>
      <c r="I6" s="6">
        <v>2.1619999999999999</v>
      </c>
      <c r="J6" s="6">
        <v>593.08199999999999</v>
      </c>
      <c r="K6" s="6">
        <v>47.5</v>
      </c>
      <c r="L6" s="7">
        <f>Table2[[#This Row],[C Qubit (ng/µl)]]*30*0.001</f>
        <v>1.425</v>
      </c>
      <c r="M6" s="8" t="s">
        <v>19</v>
      </c>
    </row>
    <row r="7" spans="1:13" ht="27" x14ac:dyDescent="0.2">
      <c r="A7" s="3" t="s">
        <v>27</v>
      </c>
      <c r="B7" s="3" t="s">
        <v>14</v>
      </c>
      <c r="C7" s="3" t="s">
        <v>15</v>
      </c>
      <c r="D7" s="3" t="s">
        <v>16</v>
      </c>
      <c r="E7" s="3" t="s">
        <v>25</v>
      </c>
      <c r="F7" s="4" t="s">
        <v>26</v>
      </c>
      <c r="G7" s="5">
        <v>45862</v>
      </c>
      <c r="H7" s="6">
        <v>1.9950000000000001</v>
      </c>
      <c r="I7" s="6">
        <v>2.3879999999999999</v>
      </c>
      <c r="J7" s="6">
        <v>513.21100000000001</v>
      </c>
      <c r="K7" s="6">
        <v>45.8</v>
      </c>
      <c r="L7" s="7">
        <f>Table2[[#This Row],[C Qubit (ng/µl)]]*30*0.001</f>
        <v>1.3740000000000001</v>
      </c>
      <c r="M7" s="8" t="s">
        <v>19</v>
      </c>
    </row>
    <row r="8" spans="1:13" ht="27" x14ac:dyDescent="0.2">
      <c r="A8" s="3" t="s">
        <v>28</v>
      </c>
      <c r="B8" s="3" t="s">
        <v>14</v>
      </c>
      <c r="C8" s="3" t="s">
        <v>15</v>
      </c>
      <c r="D8" s="3" t="s">
        <v>16</v>
      </c>
      <c r="E8" s="3" t="s">
        <v>29</v>
      </c>
      <c r="F8" s="10">
        <v>33496</v>
      </c>
      <c r="G8" s="5">
        <v>45862</v>
      </c>
      <c r="H8" s="6">
        <v>1.792</v>
      </c>
      <c r="I8" s="6">
        <v>1.6619999999999999</v>
      </c>
      <c r="J8" s="6">
        <v>161.059</v>
      </c>
      <c r="K8" s="6">
        <v>14.3</v>
      </c>
      <c r="L8" s="7">
        <f>Table2[[#This Row],[C Qubit (ng/µl)]]*30*0.001</f>
        <v>0.42899999999999999</v>
      </c>
      <c r="M8" s="8" t="s">
        <v>19</v>
      </c>
    </row>
    <row r="9" spans="1:13" ht="27" x14ac:dyDescent="0.2">
      <c r="A9" s="3" t="s">
        <v>30</v>
      </c>
      <c r="B9" s="3" t="s">
        <v>14</v>
      </c>
      <c r="C9" s="3" t="s">
        <v>15</v>
      </c>
      <c r="D9" s="3" t="s">
        <v>16</v>
      </c>
      <c r="E9" s="3" t="s">
        <v>29</v>
      </c>
      <c r="F9" s="10">
        <v>33496</v>
      </c>
      <c r="G9" s="5">
        <v>45862</v>
      </c>
      <c r="H9" s="6">
        <v>1.474</v>
      </c>
      <c r="I9" s="6">
        <v>1.2050000000000001</v>
      </c>
      <c r="J9" s="6">
        <v>6.8129999999999997</v>
      </c>
      <c r="K9" s="6">
        <v>0.55300000000000005</v>
      </c>
      <c r="L9" s="7">
        <f>Table2[[#This Row],[C Qubit (ng/µl)]]*30*0.001</f>
        <v>1.6590000000000001E-2</v>
      </c>
      <c r="M9" s="8" t="s">
        <v>19</v>
      </c>
    </row>
    <row r="10" spans="1:13" ht="27" x14ac:dyDescent="0.2">
      <c r="A10" s="3" t="s">
        <v>33</v>
      </c>
      <c r="B10" s="3" t="s">
        <v>35</v>
      </c>
      <c r="C10" s="3" t="s">
        <v>34</v>
      </c>
      <c r="D10" s="3" t="s">
        <v>32</v>
      </c>
      <c r="E10" s="3" t="s">
        <v>32</v>
      </c>
      <c r="F10" s="9" t="s">
        <v>32</v>
      </c>
      <c r="G10" s="5">
        <v>45862</v>
      </c>
      <c r="H10" s="11">
        <v>3.4129999999999998</v>
      </c>
      <c r="I10" s="11">
        <v>8.7799999999999994</v>
      </c>
      <c r="J10" s="11">
        <v>1.6879999999999999</v>
      </c>
      <c r="K10" s="6" t="s">
        <v>31</v>
      </c>
      <c r="L10" s="7" t="s">
        <v>32</v>
      </c>
      <c r="M10" s="8" t="s">
        <v>19</v>
      </c>
    </row>
  </sheetData>
  <pageMargins left="0.25" right="0.25" top="0.75" bottom="0.75" header="0.511811023622047" footer="0.511811023622047"/>
  <pageSetup paperSize="9" fitToHeight="0" orientation="landscape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DNA_samples</vt:lpstr>
      <vt:lpstr>DNA_samples!Print_Area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Jean-Luc Lucien Bessette</dc:creator>
  <cp:lastModifiedBy>Edouard Jean-Luc Lucien Bessette</cp:lastModifiedBy>
  <dcterms:created xsi:type="dcterms:W3CDTF">2026-01-28T20:21:30Z</dcterms:created>
  <dcterms:modified xsi:type="dcterms:W3CDTF">2026-01-28T20:37:53Z</dcterms:modified>
</cp:coreProperties>
</file>