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rsl479/Bioinfo/Multigene_phylogeny/Ophiocordyceps-nutans-study/phylogeny/"/>
    </mc:Choice>
  </mc:AlternateContent>
  <xr:revisionPtr revIDLastSave="0" documentId="13_ncr:1_{9EFC5D58-C4B4-A74F-9D30-B6C0A11ACB22}" xr6:coauthVersionLast="47" xr6:coauthVersionMax="47" xr10:uidLastSave="{00000000-0000-0000-0000-000000000000}"/>
  <bookViews>
    <workbookView xWindow="0" yWindow="580" windowWidth="29920" windowHeight="18760" tabRatio="500" activeTab="1" xr2:uid="{00000000-000D-0000-FFFF-FFFF00000000}"/>
  </bookViews>
  <sheets>
    <sheet name="All_seq_data" sheetId="1" r:id="rId1"/>
    <sheet name="Sheet1" sheetId="2" r:id="rId2"/>
  </sheets>
  <definedNames>
    <definedName name="ExternalData_1" localSheetId="0" hidden="1">All_seq_data!$A$1:$U$39</definedName>
    <definedName name="_xlnm.Print_Area" localSheetId="1">Sheet1!$A$1:$L$39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  <c r="I9" i="1"/>
  <c r="I8" i="1"/>
  <c r="I7" i="1"/>
  <c r="I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6450C8-2304-414D-81EC-E054095F828A}" keepAlive="1" name="Query - All_seq_data" description="Connection to the 'All_seq_data' query in the workbook." type="5" refreshedVersion="8" background="1" saveData="1">
    <dbPr connection="Provider=Microsoft.Mashup.OleDb.1;Data Source=$Workbook$;Location=All_seq_data;Extended Properties=&quot;&quot;" command="SELECT * FROM [All_seq_data]"/>
  </connection>
</connections>
</file>

<file path=xl/sharedStrings.xml><?xml version="1.0" encoding="utf-8"?>
<sst xmlns="http://schemas.openxmlformats.org/spreadsheetml/2006/main" count="931" uniqueCount="199">
  <si>
    <t>Platform</t>
  </si>
  <si>
    <t>Sample</t>
  </si>
  <si>
    <t>Marker</t>
  </si>
  <si>
    <t>support_reads</t>
  </si>
  <si>
    <t>SeqID</t>
  </si>
  <si>
    <t>Phylo_ID</t>
  </si>
  <si>
    <t>Sequence</t>
  </si>
  <si>
    <t>Seq_len</t>
  </si>
  <si>
    <t>Found_Marker_BLAST</t>
  </si>
  <si>
    <t>Pident</t>
  </si>
  <si>
    <t>AlignLength</t>
  </si>
  <si>
    <t>BITScore</t>
  </si>
  <si>
    <t>Evalue</t>
  </si>
  <si>
    <t>Phylum</t>
  </si>
  <si>
    <t>Class</t>
  </si>
  <si>
    <t>Order</t>
  </si>
  <si>
    <t>Family</t>
  </si>
  <si>
    <t>Genus</t>
  </si>
  <si>
    <t>Species</t>
  </si>
  <si>
    <t>kept_discarded</t>
  </si>
  <si>
    <t>reason</t>
  </si>
  <si>
    <t>ONT</t>
  </si>
  <si>
    <t>203_A</t>
  </si>
  <si>
    <t>ITS</t>
  </si>
  <si>
    <t>203_A|ITS2_350bp_U001_U001|consensus_cl_id_18_total_supporting_reads_177</t>
  </si>
  <si>
    <t>ONT_203_A_ITS</t>
  </si>
  <si>
    <t>TAAATGCAAGAGACTGGCAGCCGAGTAGACAGCCATGAATTTTGCCCGCTTCTTCTTGCACACGGCCATCCTGTTAAACAGATGGGCATCGATGAAGAACGCAGCTAAATGCGATAAGTAATGCGAATCGCAGATTTCAGTGAGTCATCGAGTTTTTGAACGCATATTGCGCCTGCTGGTTATTCCAGCAGGCATGCCTGTTCGAGCGTTATTACAGCACTAGACGTTTTGTCTCTGTTGGAGATTGGCTAGCGGCCAGCTCTTAAATATAGCAGCAGCAGCTTTTTGCTCTTTTACTGCTATGTATAGTAGAAACGATACAGCGCAGAGAAGCAACTAGACCGCTATAAACACCCCTAAGTTTAACCTCGAATCAGGTAGGGATACCCGCTGAACTTAACTTAA</t>
  </si>
  <si>
    <t>Ascomycota</t>
  </si>
  <si>
    <t>Sordariomycetes</t>
  </si>
  <si>
    <t>Hypocreales</t>
  </si>
  <si>
    <t>Ophiocordycipitaceae</t>
  </si>
  <si>
    <t>Ophiocordyceps</t>
  </si>
  <si>
    <t>Ophiocordyceps cf. nutans</t>
  </si>
  <si>
    <t>kept</t>
  </si>
  <si>
    <t>Blast to target, placement nutans clade</t>
  </si>
  <si>
    <t>LSU</t>
  </si>
  <si>
    <t>203_A|LSU_308bp_U001_U001|consensus_cl_id_2641_total_supporting_reads_346</t>
  </si>
  <si>
    <t>ONT_203_A_LSU</t>
  </si>
  <si>
    <t>AAAGATGAAAAGCACTTTGAAAAGAGAGTTAAACAGTATGTGAAATTGTTGAAAGGGAAGCGCTTGCAACCAGACTTGCGCGCGACGGTTCCCCCTTCCCTTCTGGTTGGGTTACTCCGTCGTGTCCAGGCCAACATCGGTTCTGGGGGTCGGTTAAAGGCTCAGGGAATGTATCTACCCTCCGGGCGTAGACTTATAGCCCCGGCGTCATGCGACCTCCCGGGACCGAGGAACGCGCTTCGGCTCGGATGTTGGCGTAATGGTTGTCAGCGACCCCG</t>
  </si>
  <si>
    <t>uncultured fungus</t>
  </si>
  <si>
    <t>discarded</t>
  </si>
  <si>
    <t>Blast off target, wrong placement</t>
  </si>
  <si>
    <t>SSU</t>
  </si>
  <si>
    <t>203_A|SSU_305bp_U001_U001|consensus_cl_id_37182_total_supporting_reads_228</t>
  </si>
  <si>
    <t>ONT_203_A_SSU</t>
  </si>
  <si>
    <t>TAAAAAAGCTCCAACTTCAGGAAGGAGTGTATTTATTAGATAAAAAACCAATGCAGGCAACTGCTTCACTTGGTGAATCATAATAACTGATCGAATTGTATGGCTTCACGCCGACAATGGTTCATTCAAATTTCTGCCCTATCAACTTTCGATGGTAGGATAGTGGCCTACCATGGTGACAACGGGTAACGGGGAATTAGGGTTTGATTCCGGAGAGGGAGCCTGAGAAACGGCTCCCGGACCTACGGGTTACAGCAGGCGC</t>
  </si>
  <si>
    <t>Blast off target, branch length</t>
  </si>
  <si>
    <t>TEF</t>
  </si>
  <si>
    <t>203_A|TEF_268bp_U001_U001|consensus_cl_id_43518_total_supporting_reads_892</t>
  </si>
  <si>
    <t>ONT_203_A_TEF</t>
  </si>
  <si>
    <t>AAGACCAAGGGTGGTAAGACTACTGGCAAGACGCTTCTCGAAGCTATCGATGCCATCGAGCCGCCGAAGCGTCCCACCGACAAGCCCCTCCGACTTCCCCTCCAAGACGTCTACAAGATTGGTGGTATCGGCACTGTCCCCGTCGGCCGTATCGAGACTGGTATTCTTAAGCCCGGCATGGTCGTCACTTTTGCTCCTTCCAACGTCACTACTGAAGTCAAGTCCGTT</t>
  </si>
  <si>
    <t>Sordariales</t>
  </si>
  <si>
    <t>Madurella</t>
  </si>
  <si>
    <t>Madurella pseudomycetomatis (nom. inval.)</t>
  </si>
  <si>
    <t>Placement nutans clade</t>
  </si>
  <si>
    <t>204_B</t>
  </si>
  <si>
    <t>265</t>
  </si>
  <si>
    <t>204_B|ITS2_350bp_U001_U002|consensus_cl_id_6_total_supporting_reads_265</t>
  </si>
  <si>
    <t>ONT_204_B_ITS</t>
  </si>
  <si>
    <t>AAGGCTAAATGCGATAAGTAATGCGAATTGCAGATTTCAGTGAGTCATCGAGTTTTTGAACGCATATTGCGCCTGCTGGCTATTCCAGCAGGCATGCCTGTTCGAGCGTTATTACAACATTAGACGTCTGTCTTTGTTAGAGATTGGCTAGCGGCCACCTCTGAAATACAGCAGCAGCTATCTGCCCTAGCTCCCTTGTGTAGTAAAAATAAGCCACGCATTGCGGAAGAAAGGCATCTTAACTGCTATAGACTTTTTAATAGTTTAACCTCGAATCAGGTAGGGATACCCGCTGAACTTAAA</t>
  </si>
  <si>
    <t>3.28e-91</t>
  </si>
  <si>
    <t>Ophiocordyceps neonutans</t>
  </si>
  <si>
    <t>998</t>
  </si>
  <si>
    <t>204_B|LSU_308bp_U001_U002|consensus_cl_id_1_total_supporting_reads_998</t>
  </si>
  <si>
    <t>ONT_204_B_LSU</t>
  </si>
  <si>
    <t>TAAAGATGAAAAGCACTTTGGAAAGAGGGTTAAATAGCATGTGAAATTGTTAAAAGGGAAGCGCTTACAACTAGACGTGGGCGTGTCCGATCAACTAGTGATTTCTACTAGGGCATTCAGACACTATCCAGGCTAGCATCGGTTCGCTACAGGGGATAAAGGCGTTAGGAATGTAGCCCTCCTCTCGGAGGGTGTTATAGCCTAGCGTGTAATACCCTGTATGCGGACCGAGGTCTGCGCTTTAATGCAAGGATGCTGGCGTAATGGTTGTTAGTGACT</t>
  </si>
  <si>
    <t>2.08e-98</t>
  </si>
  <si>
    <t>Ophiocordyceps nutans</t>
  </si>
  <si>
    <t>RPB1</t>
  </si>
  <si>
    <t>488</t>
  </si>
  <si>
    <t>204_B|RPB1_320bp_U001_U002|consensus_cl_id_0_total_supporting_reads_488</t>
  </si>
  <si>
    <t>ONT_204_B_RPB1</t>
  </si>
  <si>
    <t>CGGAGATGTGAGAACGAGGACCGTCAGAGCAAGGATAAAGACGAGGACTTCATGCCGGGAATGAAGCAGCTGCAGACCGTCGATAACCACGGCGGCTGCGGTAACGTTCAACCCGCTGTGCGGCAGCTTGCCCTGCAACTCAAGGCTGCCTTTGATGTGCCTCAGGAAGACGGCCCCAAACGAAGAGACACGGTGCCAATCACGCCAGAAATGGCCCACAACATTCTGCGGCGCATCTCAGAAGAAGACCTGTGCAACATGGGCCTCAACGTTGACTATGCTCGTCCGCCCTGTTC</t>
  </si>
  <si>
    <t>4.51e-84</t>
  </si>
  <si>
    <t>Ophiocordyceps forquignonii</t>
  </si>
  <si>
    <t>979</t>
  </si>
  <si>
    <t>204_B|TEF_268bp_U001_U002|consensus_cl_id_0_total_supporting_reads_979</t>
  </si>
  <si>
    <t>ONT_204_B_TEF</t>
  </si>
  <si>
    <t>ATAAGACCAAGGGTGGTAAGACTACTGGCAAGACGCTTCTCGAAGCTATCGACGCCATCGAGCCGCCGAAGCGTCCCACCGACAAGCCCCTCCGTCTTCCCCTCCAGGACGTCTACAAGATTGGTGGTATCGGTACTGTCCCCGTCGGCCGTATCGAGACTGGTGTTCTCAAGCCCGGCATGGTCGTCACCTTTGCTCCTTCCAACGTCACTACTGAAGTCAAGTCCGTCGAAA</t>
  </si>
  <si>
    <t>8.43e-137</t>
  </si>
  <si>
    <t>Rhodoveronaea</t>
  </si>
  <si>
    <t>Rhodoveronaea varioseptata</t>
  </si>
  <si>
    <t>205_A</t>
  </si>
  <si>
    <t>990</t>
  </si>
  <si>
    <t>205_A|LSU_308bp_U001_U003|consensus_cl_id_4_total_supporting_reads_990</t>
  </si>
  <si>
    <t>ONT_205_A_LSU</t>
  </si>
  <si>
    <t>AAAAAAGATGAAAAGCACTTTGAAAAGAGGGTTAAACAGTACGTGAAATTGCTAAAAGGGAAGCACTTGCAACTAGACGTAGCGCGTGCCAATCACCTGGCATTTGTGTCAGGGCACTTGGGGCGATGCTAGGCCAGCATCGGTTTGCTGTGGGGGATAAAGACATCTGGAACGTAGCCCTTTGGGTGTTATAGCCAGGTGTGCAATGCCCTGCGGCAGACCGAGGACCTTGCGCATCTGCAAAGATGCTGGCGTAATAGTTGCTAGTGACCCCC</t>
  </si>
  <si>
    <t>4.11e-145</t>
  </si>
  <si>
    <t>205_A|RPB1_320bp_U001_U003|consensus_cl_id_4_total_supporting_reads_998</t>
  </si>
  <si>
    <t>ONT_205_A_RPB1</t>
  </si>
  <si>
    <t>GGCGGAGGTGCGAAAATGAGGATCGCCAGGGCAAGGACAAGGACGAAGATTTTATGCCAGGAATCAAACTGCAAACTGTCGATAACCACGGCGGTTGTGGCAACGTGCAGCCTGCTGTACGTCAACTTGCCTTGCAACTCAAGGCTGCCTTCGACGTGCCTCAGGAAGACGGTCCCAAGCGTAGAGACACGGTCCCAATCACTCCCGAAATGGCTCTCAACATTCTGCGGCGTATCTCGGAGGAAGACTTGCGCAACATGGGTCTCAACGTCGACTATGCTCGGCCCGAA</t>
  </si>
  <si>
    <t>5.74e-113</t>
  </si>
  <si>
    <t>976</t>
  </si>
  <si>
    <t>205_A|TEF_268bp_U001_U003|consensus_cl_id_12_total_supporting_reads_976</t>
  </si>
  <si>
    <t>ONT_205_A_TEF</t>
  </si>
  <si>
    <t>AAGAGAGACCAAGGGTGGCAAACTCACTGGCAAGACGCTTCTTGAGGCCATCGACGCCATCGAGCCCCCCAAGCGTCCCACTGATAAGCCCCTACGCCTTCCCCTCCAGGATGTCTACAAGATTGGAGGTATCGGCACTGTACCTGTCGGTCGTATTGAGACTGGTGTCATCAAGCCCGGCATGGTCGTTACCTTTGCTCCCTCTAATGTCACTACTGAAGTCAAGTCCGTTCCGTTGT</t>
  </si>
  <si>
    <t>4.39e-140</t>
  </si>
  <si>
    <t>206_A</t>
  </si>
  <si>
    <t>999</t>
  </si>
  <si>
    <t>206_A|ITS2_350bp_U001_U004|consensus_cl_id_1_total_supporting_reads_999</t>
  </si>
  <si>
    <t>ONT_206_A_ITS</t>
  </si>
  <si>
    <t>GAGGAAATGCGATAAGTAATGCGAATTGCAGAATCTAGTGAGTCATCGAATCTTTGAACGCATATTGCGCCTACTAGCTATTCTAGTAGGCATGCCTATTTGAGCGTCATTTAAAGCATTTATACCTTGTATAGTGTTGGAGAATAGCGAATAAACGACGCTATCTCTAAAATAAAGAAGCAAGCAATTCCACTTCTCTTCTTGTAGAGTAAAAAGCTACAAATGCAAGAAGTTAAAGAAGAAGGAAAGCTTTAAAAAACCTATAAGTTGACCTCAAATTAGGTAGGAATACCCGCTGAACTTAAA</t>
  </si>
  <si>
    <t>2.50e-137</t>
  </si>
  <si>
    <t>Ophiocordyceps sp.</t>
  </si>
  <si>
    <t>1000</t>
  </si>
  <si>
    <t>206_A|LSU_308bp_U001_U004|consensus_cl_id_0_total_supporting_reads_1000</t>
  </si>
  <si>
    <t>ONT_206_A_LSU</t>
  </si>
  <si>
    <t>AAAAGATGAAAAGATGAAAAGCACTTTGAAAAGAGGGTTAAACAGTACGTGAAATTGCTAAAAGGGAAGCACTTGCAACTAGACGTAGATATTTCTATTCACTTAGTGTTTTTCACTAAGGTATTTAGGAGTAATCTAGGCTAGCATCGGTTTACTGTAAAGGATAAAGACATTTGGAACGTAGCCCTCTTAGGGGGGTGTTATAGCCAGGTGTGCAATGCTTTACTTGTAGACCGAGGTGTTAATGCGCATTTATGCAAAGATGCTGGCGTAATAGTTGCTAGTGACCTG</t>
  </si>
  <si>
    <t>1.96e-112</t>
  </si>
  <si>
    <t>Ophiocordyceps pseudonutans</t>
  </si>
  <si>
    <t>16</t>
  </si>
  <si>
    <t>206_A|TEF_268bp_U001_U004|consensus_cl_id_0_total_supporting_reads_16</t>
  </si>
  <si>
    <t>ONT_206_A_TEF</t>
  </si>
  <si>
    <t>AAAGACCAAGGGTGGCAAGCTCACTGGCAAGACGCTCCTTGAGGCCATCGACGCCATTGAGCCCCCTAAGCGTCCCACGGATAAGCCCCTACGCCTCCCCCTCCAGGATGTCTACAAGATTGGCGGTATCGGCACCGTACCTGTTGGTCGTATTGAGACTGGTGTTATCAAGCCCGGCATGGTCGTTACCTTTGCTCCCTCTAATGTCACTACTGAAGTCAAGTCCGTT</t>
  </si>
  <si>
    <t>Illumina</t>
  </si>
  <si>
    <t>2191</t>
  </si>
  <si>
    <t>204_B|Uniq1;size=2191</t>
  </si>
  <si>
    <t>Illumina_204_B_TEF</t>
  </si>
  <si>
    <t>AGACCAAGGGTGGTAAGACTACTGGCAAGACGCTTCTCGAAGCTATCGACGCCATCGAGCCGCCGAAGCGTCCCACCGACAAGCCCCTCCGTCTTCCCCTCCAGGACGTCTACAAGATTGGTGGTATCGGTACTGTCCCCGTCGGCCGTATCGAGACTGGTGTTCTCAAGCCCGGCATGGTCGTCACCTTTGCTCCTTCCAACGTCACTACTGAAGTCAAGTCCGTCGAGATGCACCACGAGCAGCGA</t>
  </si>
  <si>
    <t>Chaetomiaceae</t>
  </si>
  <si>
    <t>Arxotrichum</t>
  </si>
  <si>
    <t>Arxotrichum wyomingense</t>
  </si>
  <si>
    <t>5300</t>
  </si>
  <si>
    <t>205_A|Uniq1;size=5300</t>
  </si>
  <si>
    <t>Illumina_205_A_TEF</t>
  </si>
  <si>
    <t>AGACCAAGGGTGGCAAACTCACTGGCAAGACGCTTCTTGAGGCCATCGACGCCATCGAGCCCCCCAAGCGTCCCACTGATAAGCCCCTACGCCTTCCCCTCCAGGATGTCTACAAGATTGGAGGTATCGGCACTGTACCTGTCGGTCGTATTGAGACTGGTGTCATCAAGCCCGGCATGGTCGTTACCTTTGCTCCCTCTAATGTCACTACTGAAGTCAAGTCCGTCGAGATGCACCACGAGCAGCGA</t>
  </si>
  <si>
    <t>16600</t>
  </si>
  <si>
    <t>203_A|Uniq1;size=16600</t>
  </si>
  <si>
    <t>Illumina_203_A_SSU</t>
  </si>
  <si>
    <t>TAAAAACCCCGACTCCGGGAGGGGTGTATTTATTAGATTAAAAGCCAATGCCCCCTGGGCTCTCTGGTGATTCATGATAACTCCTCGAATCGCATGGCCTTGCGCCGGCGATGGTTCATTCAAATTTCTTCCCTATCAACTTTCGATGTTTGGGTAGTGGCCAAACATGGTTGCAACGGGTAACGGAGGGTTAGGGCTCGACCCCGGAGAAGGAGCCTGAGAAACGGCTACTACATCCAAGGAAGGCAGCAGGCGCGCAAATTACCCAATCCCGACCG</t>
  </si>
  <si>
    <t>Ophiocordyceps melolonthae</t>
  </si>
  <si>
    <t>9510</t>
  </si>
  <si>
    <t>204_B|Uniq1;size=9510</t>
  </si>
  <si>
    <t>Illumina_204_B_SSU</t>
  </si>
  <si>
    <t>TAAAAGACCCGACTTCGGGAGGGTTGTATTTATTAGATTAAAAACCAATGCCCTCTGGGCTCACTGGTGATTCATGATAACTTCGCGAATCGCATGGCCTTGCGCCGGCGATGGCTCATTCAAATTTCTTCCCTATCAACTTTCGATGTTTGGGTAGTGGCCAAACATGGTTGCAACGGGTAACGGAGGGTTAGGGCTCGACCCCGGAGAAGGAGCCTGAGAAACGGCTACTACATCCAAGGAAGGCAGCAGGCGCGCAAATTACCCAATCCCGACCG</t>
  </si>
  <si>
    <t>Ophiocordyceps oxycephala</t>
  </si>
  <si>
    <t>11451</t>
  </si>
  <si>
    <t>205_A|Uniq1;size=11451</t>
  </si>
  <si>
    <t>Illumina_205_A_SSU</t>
  </si>
  <si>
    <t>TAAAAGACCCGACTTTAGAAGGGTTGTATTTATTAGATTAAAAGCCAATGCCCTCTGGGCTCACTGGTGAATCATGATAACTTCGCGAATCGCATGGCCTTGTGCCGGCGATGGCTCATTCAAATTTCTTCCCTATCAACTTTCGATGTTTGGGTAGTGGCCAAACATGGTTGCAACGGGTAACGGAGGGTTAGGGCTCGACCCCGGAGAAGGAGCCTGAGAAACGGCTACTACATCCAAGGAAGGCAGCAGGCGCGCAAATTACCCAATCCCGACCG</t>
  </si>
  <si>
    <t>2823</t>
  </si>
  <si>
    <t>206_A|Uniq1;size=2823</t>
  </si>
  <si>
    <t>Illumina_206_A_SSU</t>
  </si>
  <si>
    <t>TAAAAGACCCGACTTTGGAAGGGTTGTATTTATTAGATTAAAAACCAATGCCCTCTGGGCTCACTGGTGAATCATGATAACTTCGCGAATCGCATGGCCTTGTGCCGGCGATGGCTCATTCAAATTTCTTCCCTATCAACTTTCGATGTTTGGGTAGTGGCCAAACATGGTTGCAACGGGTAACGGAGGGTTAGGGCTCGACCCCGGAGAAGGAGCCTGAGAAACGGCTACTACATCCAAGGAAGGCAGCAGGCGCGCAAATTACCCAATCCCGACCG</t>
  </si>
  <si>
    <t>40</t>
  </si>
  <si>
    <t>205_A|Uniq1;size=40</t>
  </si>
  <si>
    <t>Illumina_205_A_LSU</t>
  </si>
  <si>
    <t>GATGGTACAAGGGCTGGGAGAAGGATGAAAAGCACTTTGAAAAGAGGGTTAAACAGTACGTGAAATTGCTAAAAGGGAAGCACTTGCAACTAGACGTAGCGCGTGCCAATCACCTGGCATTTGTGTCAGGGCACTTGGGGCGATGCTAGGCCAGCATCGGTTTGCTGTGGGGGATAAAGACATCTGGAACGTAGCCCTTTGGGTGTTATAGCCAGGTGTGCAATGCCCTGCGGCAGACCGAGGACCTTGCGCATCTGCAAAGATGCTGGCGTAATAGTTGCTAGTGAC</t>
  </si>
  <si>
    <t>30</t>
  </si>
  <si>
    <t>206_A|Uniq1;size=30</t>
  </si>
  <si>
    <t>Illumina_206_A_LSU</t>
  </si>
  <si>
    <t>AAAGATGAAAAGCACTTTGAAAAGAGGGTTAAACAGTACGTGAAATTGCTAAAAGGGAAGCACTTGCAACTAGACGTAGATATTTCTATTCACTTAGTGTTTTTCACTAAGGTATTTAGGAGTAATCTAGGCTAGCATCGGTTTACTGTAAAGGATAAAGACATTTGGAACGTAGCCCTCTTAGGGGGGTGTTATAGCCAGGTGTGCAATGCTTTACTTGTAGACCGAGGTGTTAATGCGCATTTATGCAAAGATGCTGGCGTAATAGTTGCTAGTGACC</t>
  </si>
  <si>
    <t>2355</t>
  </si>
  <si>
    <t>203_A|Uniq1;size=2355</t>
  </si>
  <si>
    <t>Illumina_203_A_ITS</t>
  </si>
  <si>
    <t>GAAATGCGATAAGTAGTGTGAATTGCAGAATTCAGTGAATCATCGAATCTTTGAACGCACATTGCGCCCTATGGTATTCCATAGGGCATGCCTGTTCGAGCGTCATTTGTACCTTCAAGCTCTGCTTGGTGTTGGGTGTTTGTCCCGCCTTTGTGCGCGGACTCGCCTTAAAGCAATTGGCAGCCGACGTCTAGGTTTCGGAGCGCAGCACAAATCGCGCTCTGTGTCCTGGTACGGCGGCGTCCATCAAGACTATTTTACACTCTTGACCTCGGATCAGGTAGGGATACCCGCTGAACTTAA</t>
  </si>
  <si>
    <t>Dothideomycetes</t>
  </si>
  <si>
    <t>Pleosporales</t>
  </si>
  <si>
    <t>Didymellaceae</t>
  </si>
  <si>
    <t>uncultured Didymella</t>
  </si>
  <si>
    <t>16989</t>
  </si>
  <si>
    <t>204_B|Uniq1;size=16989</t>
  </si>
  <si>
    <t>Illumina_204_B_ITS</t>
  </si>
  <si>
    <t>TAAATGCGATAAGTAATGCGAATTGCAGATTTCAGTGAGTCATCGAGTTTTTGAACGCATATTGCGCCTGCTGGCTATTCCAGCAGGCATGCCTGTTCGAGCGTTATTACAACATTAGACGTCTGTCTTTGTTAGAGATTGGCTAGCGGCCACCTCTGAAATACAGCAGCAGCTATCTGCCCTAGCTCCCTTGTGTAGTAAAAATAAGCCACGCATTGCGGAAGAAAGGCATCTTAACTGCTATAGACTTTTTAATAGTTTAACCTCGAATCAGGTAGGGATACCCGCTGAACTTAA</t>
  </si>
  <si>
    <t>326</t>
  </si>
  <si>
    <t>205_A|Uniq1;size=326</t>
  </si>
  <si>
    <t>Illumina_205_A_ITS</t>
  </si>
  <si>
    <t>GTGCATCGATGAAGACGCAGCGAAATGCGATAAGTAATGCGAATTGCAGAATTAAGTGAGTCATCGAATCTTTGAACGCATATTGCGCCTACTGGCTATTCTAGTAGGCATGCCTATTTGAGCGTCATTTCAGCACTTATACGTGGTATACTGTTGGAGACTAGCATATGCTATCTCTTAAATGCATATAAGCAGGCTTCCCTTGCAGAGTAAAAACAATGCACCGGGAGTGCCGTCGTTATGTTGACCTCAAATTAGGTAGGAATACCCGCTGAACTTAA</t>
  </si>
  <si>
    <t>Ophiocordyceps asiana</t>
  </si>
  <si>
    <t>1380</t>
  </si>
  <si>
    <t>206_A|Uniq1;size=1380</t>
  </si>
  <si>
    <t>Illumina_206_A_ITS</t>
  </si>
  <si>
    <t>GAAATGCGATAAGTAATGCGAATTGCAGAATCTAGTGAGTCATCGAATCTTTGAACGCATATTGCGCCTACTAGCTATTCTAGTAGGCATGCCTATTTGAGCGTCATTTAAAGCATTTATACCTTGTATAGTGTTGGAGAATAGCGAATAAACGACGCTATCTCTAAAATAAAGAAGCAAGCAATTCCACTTCTCTTCTTGTAGAGTAAAAAGCTACAAATGCAAGAAGTTAAAGAAGAAGGAAAGCTTTAAAAAACCTATAAGTTGACCTCAAATTAGGTAGGAATACCCGCTGAACTTAA</t>
  </si>
  <si>
    <t>Sanger</t>
  </si>
  <si>
    <t>NA</t>
  </si>
  <si>
    <t>Sanger_204_B_ITS</t>
  </si>
  <si>
    <t>GCAGATTTCAGTGAGTCATCGAGTTTTTGAACGCATATTGCGCCTGCTGGCTATTCCAGCAGGCATGCCTGTTCGAGCGTTATTACAACATTAGACGTCTGTCTTTGTTAGAGATTGGCTAGCGGCCACCTCTGAAATACAGCAGCAGCTATCTGCCCTAGCTCCCTTGTGTAGTAAAAATAAGCCACGCATTGCGGAAGAAAGGCATCTTAACTGCTATAGACTTTTTAATAGTTTAACCTCGAATCAGGTAGGGATACCCGCTGAACTTAAGCATATCAATAAGCGGAGGAAAAA</t>
  </si>
  <si>
    <t>Sanger_205_A_ITS</t>
  </si>
  <si>
    <t>ATAGCGAATTGCAGAATTAAGTGAGTCATCGAATCTTTGAACGCATATTGCGCCTACTGGCTATTCTAGTAGGCATGCCTATTTGAGCGTCATTTCAGCACTTATACGTGGTATACTGTTGGAGACTAGCATATGCTATCTCTTAAATGCATATAAGCAGGCTTCCCTTGCAGAGTAAAAACAATGCACCGGGAGTGCCGTCGTTATGTTGACCTCAAATTAGGTAGGAATACCCGCTGAACTTAAGCATATCAATAAGCGGGAGGAAAAAA</t>
  </si>
  <si>
    <t>Sanger_206_A_ITS</t>
  </si>
  <si>
    <t>GCGATTGCAGAATCTAGTGAGTCATCGAATCTTTGAACGCATATTGCGCCTACTAGCTATTCTAGTAGGCATGCCTATTTGAGCGTCATTTAAAGCATTTATACCTTGTATAGTGTTGGAGAATAGCGAATAAACGACGCTATCTCTAAAATAAAGAAGCAAGCAATTCCACTTCTCTTCTTGTAGAGTAAAAAGCTACAAATGCAAGAAGTTAAAGAAGAAGGAAAGCTTTAAAAAACCTATAAGTTGACCTCAAATTAGGTAGGAATACCCGCTGAACTTAAGCATATCAATAAGCGGGAGG</t>
  </si>
  <si>
    <t>Sanger_203_A_SSU</t>
  </si>
  <si>
    <t>ACTCGGGAGGGGTGTATTTATTAGATTAAAAGCCAATGCCCCCTGGGCTCTCTGGTGATTCATGATAACTCCTCGAATCGCATGGCCTTGCGCCGGCGATGGTTCATTCAAATTTCTTCCCTATCAACTTTCGATGTTTGGGTAGTGGCCAAACATGGTTGCAACGGGTAACGGAGGGTTAGGGCTCGACCCCGGAGAAGGAGCCTGAGAAACGGCTACTACATCCAAGGAAGGCAGCAGGCGCGCAAATTACCCAATCCCGACAAA</t>
  </si>
  <si>
    <t>Sanger_204_B_SSU</t>
  </si>
  <si>
    <t>AACGATTCGGGAGGGTTGTTATTTATTAGATTAAAAACCAATGCCCTCTGGGCTCACTGGTGATTCATGATAACTTCGCGAATCGCATGGCCTTGCGCCGGCGATGGCTCATTCAAATTTCTTCCCTATCAACTTTCGATGTTTGGGTAGTGGCCAAACATGGTTGCAACGGGTAACGGAGGGTTAGGGCTCGACCCCGGAGAAGGAGCCTGAGAAACGGCTACTACATCCAAGGAAGGCAGCAGGCGCGCAAATTACCAAAATCCCGTCTA</t>
  </si>
  <si>
    <t>Sanger_205_A_SSU</t>
  </si>
  <si>
    <t>AACCGAATTTAGAAGGGTTGTATTTATTAGATTAAAAGCCAATGCCCTCTGGGCTCACTGGTGAATCATGATAACTTCGCGAATCGCATGGCCTTGTGCCGGCGATGGCTCATTCAAATTTCTTCCCTATCAACTTTCGATGTTTGGGTAGTGGCCAAACATGGTTGCAACGGGTAACGGAGGGTTAGGGCTCGACCCCGGAGAAGGAGCCTGAGAAACGGCTACTACATCCAAGGAAGGCAGCAGGCGCGCAAATTACCAAATCCCGACAAC</t>
  </si>
  <si>
    <t>Sanger_204_B_LSU</t>
  </si>
  <si>
    <t>GTAAAACTTTGGAAGAGGGTTAATAGCATGTGAAATTGTTAAAAGGGAAGCGCTTACAACTAGACGTGGGCGTGTCCGATCAACTAGTGATTTCTACTAGGGCATTCAGACACTATCCAGGCTAGCATCGGTTCGCTACAGGGGATAAAGGCGTTAGGAATGTAGCCCTCCTCTCGGAGGGTGTTATAGCCTAGCGTGTAATACCCTGTATGCGGACCGAGGTCTGCGCTTTAATGCAAGGATGCTGGCGTAATGGTTGTTAGTGACCCGTCTTGAAACACGGACCTAGAAC</t>
  </si>
  <si>
    <t>Sanger_205_A_LSU</t>
  </si>
  <si>
    <t>GGGGAACCTTTGAAGAGGGTTAACAAGTACGTGAAATTGCTAAAAGGGAAGCACTTGCAACTAGACGTAGCGCGTGCCAATCACCTGGCATTTGTGTCAGGGCACTTGGGGCGATGCTAGGCCAGCATCGGTTTGCTGTGGGGGATAAAGACATCTGGAACGTAGCCCTTTGGGTGTTATAGCCAGGTGTGCAATGCCCTGCGGCAGACCGAGGACCTTGCGCATCTGCAAAGATGCTGGCGTAATAGTTGCTAGTGACCCGTCTTGAAACACGGACCCAACT</t>
  </si>
  <si>
    <t>Sanger_206_A_LSU</t>
  </si>
  <si>
    <t>CAGACAAGGGTTAACAAGTACGTGAAATTGCTAAAAGGGAAGCACTTGCAACTAGACGTAGATATTTCTATTCACTTAGTGTTTTTCACTAAGGTATTTAGGAGTAATCTAGGCTAGCATCGGTTTACTGTAAAGGATAAAGACATTTGGAACGTAGCCCTCTTAGGGGGGTGTTATAGCCAGGTGTGCAATGCTTTACTTGTAGACCGAGGTGTTAATGCGCATTTATGCAAAGATGCTGGCGTAATAGTTGCTAGTGACCCGTCTTGAAACACGGACCTAGAA</t>
  </si>
  <si>
    <t>Sanger_203_A_TEF</t>
  </si>
  <si>
    <t>GAAGGCCTGGCAAGACTCTCCTCGAGGCCATTGACTCCATCGAGCCCCCCAAGCGCCCCGTCGACAAGCCTCTCCGCCTTCCCCTCCAGGACGTGTACAAGATTGGCGGTATCGGAACTGTTCCTGTCGGCCGTATCGAGACTGGTATCCTCAAGCCCGGTATGGTTGTTACCTTCGCTCCTTCCAACGTCACCACCGAAGTCAAGTCCGTCGAGATGCACCACGAGCAGCA</t>
  </si>
  <si>
    <t>Sanger_204_B_TEF</t>
  </si>
  <si>
    <t>AGGCAAGACGCTTCTCGAAGCTATCGACGCCATCGAGCCGCCGAAGCGTCCCACCGACAAGCCCCTCCGTCTTCCCCTCCAGGACGTCTACAAGATTGGTGGTATCGGTACTGTCCCCGTCGGCCGTATCGAGACTGGTGTTCTCAAGCCCGGCATGGTCGTCACCTTTGCTCCTTCCAACGTCACTACTGAAGTCAAGTCCGTCGAGATGCACCACGAGCAGC</t>
  </si>
  <si>
    <t>Sanger_205_A_TEF</t>
  </si>
  <si>
    <t>ATCACCTGGGCAAGACGCTTCTTGAGGCCATCGACGCCATCGAGCCCCCCAAGCGTCCCACTGATAAGCCCCTACGCCTTCCCCTCCAGGATGTCTACAAGATTGGAGGTATCGGCACTGTACCTGTCGGTCGTATTGAGACTGGTGTCATCAAGCCCGGCATGGTCGTTACCTTTGCTCCCTCTAATGTCACTACTGAAGTCAAGTCCGTCGAGATGCACCACGAGCAGCA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</si>
</sst>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"/>
    </font>
    <font>
      <sz val="12"/>
      <color theme="1"/>
      <name val="Aptos Narrow"/>
      <family val="2"/>
    </font>
    <font>
      <b/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1">
    <dxf>
      <font>
        <b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_seq_data" displayName="All_seq_data" ref="A1:U39" totalsRowShown="0" headerRowDxfId="0">
  <autoFilter ref="A1:U39" xr:uid="{00000000-0009-0000-0100-000001000000}"/>
  <tableColumns count="21">
    <tableColumn id="1" xr3:uid="{00000000-0010-0000-0000-000001000000}" name="Platform"/>
    <tableColumn id="2" xr3:uid="{00000000-0010-0000-0000-000002000000}" name="Sample"/>
    <tableColumn id="3" xr3:uid="{00000000-0010-0000-0000-000003000000}" name="Marker"/>
    <tableColumn id="4" xr3:uid="{00000000-0010-0000-0000-000004000000}" name="support_reads"/>
    <tableColumn id="5" xr3:uid="{00000000-0010-0000-0000-000005000000}" name="SeqID"/>
    <tableColumn id="6" xr3:uid="{00000000-0010-0000-0000-000006000000}" name="Phylo_ID"/>
    <tableColumn id="7" xr3:uid="{00000000-0010-0000-0000-000007000000}" name="Sequence"/>
    <tableColumn id="8" xr3:uid="{00000000-0010-0000-0000-000008000000}" name="Seq_len"/>
    <tableColumn id="9" xr3:uid="{00000000-0010-0000-0000-000009000000}" name="Found_Marker_BLAST"/>
    <tableColumn id="10" xr3:uid="{00000000-0010-0000-0000-00000A000000}" name="Pident"/>
    <tableColumn id="11" xr3:uid="{00000000-0010-0000-0000-00000B000000}" name="AlignLength"/>
    <tableColumn id="12" xr3:uid="{00000000-0010-0000-0000-00000C000000}" name="BITScore"/>
    <tableColumn id="13" xr3:uid="{00000000-0010-0000-0000-00000D000000}" name="Evalue"/>
    <tableColumn id="14" xr3:uid="{00000000-0010-0000-0000-00000E000000}" name="Phylum"/>
    <tableColumn id="15" xr3:uid="{00000000-0010-0000-0000-00000F000000}" name="Class"/>
    <tableColumn id="16" xr3:uid="{00000000-0010-0000-0000-000010000000}" name="Order"/>
    <tableColumn id="17" xr3:uid="{00000000-0010-0000-0000-000011000000}" name="Family"/>
    <tableColumn id="18" xr3:uid="{00000000-0010-0000-0000-000012000000}" name="Genus"/>
    <tableColumn id="19" xr3:uid="{00000000-0010-0000-0000-000013000000}" name="Species"/>
    <tableColumn id="20" xr3:uid="{00000000-0010-0000-0000-000014000000}" name="kept_discarded"/>
    <tableColumn id="21" xr3:uid="{00000000-0010-0000-0000-000015000000}" name="reas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opLeftCell="C1" zoomScale="80" zoomScaleNormal="80" workbookViewId="0">
      <selection activeCell="K27" sqref="K27"/>
    </sheetView>
  </sheetViews>
  <sheetFormatPr baseColWidth="10" defaultColWidth="10.5" defaultRowHeight="16" x14ac:dyDescent="0.2"/>
  <cols>
    <col min="1" max="1" width="11" customWidth="1"/>
    <col min="2" max="2" width="9.83203125" customWidth="1"/>
    <col min="3" max="3" width="7" customWidth="1"/>
    <col min="4" max="4" width="8.83203125" customWidth="1"/>
    <col min="5" max="5" width="1.33203125" customWidth="1"/>
    <col min="6" max="6" width="19.6640625" customWidth="1"/>
    <col min="7" max="7" width="80.6640625" customWidth="1"/>
    <col min="8" max="8" width="10" customWidth="1"/>
    <col min="9" max="9" width="21.5" customWidth="1"/>
    <col min="10" max="10" width="9.5" customWidth="1"/>
    <col min="11" max="11" width="13.6640625" customWidth="1"/>
    <col min="12" max="12" width="12.33203125" customWidth="1"/>
    <col min="13" max="13" width="11.83203125" customWidth="1"/>
    <col min="14" max="14" width="11" customWidth="1"/>
    <col min="15" max="15" width="15.5" customWidth="1"/>
    <col min="16" max="16" width="11.5" customWidth="1"/>
    <col min="17" max="17" width="19.33203125" customWidth="1"/>
    <col min="18" max="18" width="14.33203125" customWidth="1"/>
    <col min="19" max="19" width="28.5" customWidth="1"/>
    <col min="20" max="20" width="12.1640625" customWidth="1"/>
    <col min="21" max="21" width="32" customWidth="1"/>
  </cols>
  <sheetData>
    <row r="1" spans="1:21" ht="39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">
      <c r="A2" t="s">
        <v>21</v>
      </c>
      <c r="B2" t="s">
        <v>22</v>
      </c>
      <c r="C2" t="s">
        <v>23</v>
      </c>
      <c r="D2" s="1">
        <v>177</v>
      </c>
      <c r="E2" t="s">
        <v>24</v>
      </c>
      <c r="F2" t="s">
        <v>25</v>
      </c>
      <c r="G2" t="s">
        <v>26</v>
      </c>
      <c r="H2">
        <v>405</v>
      </c>
      <c r="I2" t="s">
        <v>23</v>
      </c>
      <c r="J2">
        <v>98.653000000000006</v>
      </c>
      <c r="K2">
        <v>297</v>
      </c>
      <c r="L2">
        <v>523</v>
      </c>
      <c r="M2">
        <v>7.6900000000000003E-144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</row>
    <row r="3" spans="1:21" x14ac:dyDescent="0.2">
      <c r="A3" t="s">
        <v>21</v>
      </c>
      <c r="B3" t="s">
        <v>22</v>
      </c>
      <c r="C3" t="s">
        <v>35</v>
      </c>
      <c r="D3" s="1">
        <v>346</v>
      </c>
      <c r="E3" t="s">
        <v>36</v>
      </c>
      <c r="F3" t="s">
        <v>37</v>
      </c>
      <c r="G3" t="s">
        <v>38</v>
      </c>
      <c r="H3">
        <v>278</v>
      </c>
      <c r="I3" t="s">
        <v>35</v>
      </c>
      <c r="J3">
        <v>97.472999999999999</v>
      </c>
      <c r="K3">
        <v>277</v>
      </c>
      <c r="L3">
        <v>472</v>
      </c>
      <c r="M3">
        <v>1.86E-128</v>
      </c>
      <c r="S3" t="s">
        <v>39</v>
      </c>
      <c r="T3" t="s">
        <v>40</v>
      </c>
      <c r="U3" t="s">
        <v>41</v>
      </c>
    </row>
    <row r="4" spans="1:21" x14ac:dyDescent="0.2">
      <c r="A4" t="s">
        <v>21</v>
      </c>
      <c r="B4" t="s">
        <v>22</v>
      </c>
      <c r="C4" t="s">
        <v>42</v>
      </c>
      <c r="D4" s="1">
        <v>228</v>
      </c>
      <c r="E4" t="s">
        <v>43</v>
      </c>
      <c r="F4" t="s">
        <v>44</v>
      </c>
      <c r="G4" t="s">
        <v>45</v>
      </c>
      <c r="H4">
        <v>262</v>
      </c>
      <c r="I4" t="s">
        <v>42</v>
      </c>
      <c r="J4">
        <v>95.769000000000005</v>
      </c>
      <c r="K4">
        <v>260</v>
      </c>
      <c r="L4">
        <v>420</v>
      </c>
      <c r="M4">
        <v>6.3800000000000004E-113</v>
      </c>
      <c r="S4" t="s">
        <v>39</v>
      </c>
      <c r="T4" t="s">
        <v>40</v>
      </c>
      <c r="U4" t="s">
        <v>46</v>
      </c>
    </row>
    <row r="5" spans="1:21" x14ac:dyDescent="0.2">
      <c r="A5" t="s">
        <v>21</v>
      </c>
      <c r="B5" t="s">
        <v>22</v>
      </c>
      <c r="C5" t="s">
        <v>47</v>
      </c>
      <c r="D5" s="1">
        <v>892</v>
      </c>
      <c r="E5" t="s">
        <v>48</v>
      </c>
      <c r="F5" t="s">
        <v>49</v>
      </c>
      <c r="G5" t="s">
        <v>50</v>
      </c>
      <c r="H5">
        <v>228</v>
      </c>
      <c r="I5" t="s">
        <v>47</v>
      </c>
      <c r="J5">
        <v>90.308000000000007</v>
      </c>
      <c r="K5">
        <v>227</v>
      </c>
      <c r="L5">
        <v>296</v>
      </c>
      <c r="M5">
        <v>9.5400000000000001E-76</v>
      </c>
      <c r="N5" t="s">
        <v>27</v>
      </c>
      <c r="O5" t="s">
        <v>28</v>
      </c>
      <c r="P5" t="s">
        <v>51</v>
      </c>
      <c r="R5" t="s">
        <v>52</v>
      </c>
      <c r="S5" t="s">
        <v>53</v>
      </c>
      <c r="T5" t="s">
        <v>33</v>
      </c>
      <c r="U5" s="2" t="s">
        <v>54</v>
      </c>
    </row>
    <row r="6" spans="1:21" x14ac:dyDescent="0.2">
      <c r="A6" t="s">
        <v>21</v>
      </c>
      <c r="B6" t="s">
        <v>55</v>
      </c>
      <c r="C6" t="s">
        <v>23</v>
      </c>
      <c r="D6" t="s">
        <v>56</v>
      </c>
      <c r="E6" t="s">
        <v>57</v>
      </c>
      <c r="F6" t="s">
        <v>58</v>
      </c>
      <c r="G6" t="s">
        <v>59</v>
      </c>
      <c r="H6">
        <v>303</v>
      </c>
      <c r="I6" t="str">
        <f t="shared" ref="I6:I15" si="0">C6</f>
        <v>ITS</v>
      </c>
      <c r="J6">
        <v>99.331000000000003</v>
      </c>
      <c r="K6">
        <v>299</v>
      </c>
      <c r="L6">
        <v>542</v>
      </c>
      <c r="M6" s="3" t="s">
        <v>60</v>
      </c>
      <c r="N6" t="s">
        <v>27</v>
      </c>
      <c r="O6" t="s">
        <v>28</v>
      </c>
      <c r="P6" t="s">
        <v>29</v>
      </c>
      <c r="Q6" t="s">
        <v>30</v>
      </c>
      <c r="R6" t="s">
        <v>31</v>
      </c>
      <c r="S6" t="s">
        <v>61</v>
      </c>
      <c r="T6" t="s">
        <v>33</v>
      </c>
      <c r="U6" t="s">
        <v>34</v>
      </c>
    </row>
    <row r="7" spans="1:21" x14ac:dyDescent="0.2">
      <c r="A7" t="s">
        <v>21</v>
      </c>
      <c r="B7" t="s">
        <v>55</v>
      </c>
      <c r="C7" t="s">
        <v>35</v>
      </c>
      <c r="D7" t="s">
        <v>62</v>
      </c>
      <c r="E7" t="s">
        <v>63</v>
      </c>
      <c r="F7" t="s">
        <v>64</v>
      </c>
      <c r="G7" t="s">
        <v>65</v>
      </c>
      <c r="H7">
        <v>279</v>
      </c>
      <c r="I7" t="str">
        <f t="shared" si="0"/>
        <v>LSU</v>
      </c>
      <c r="J7">
        <v>89.247</v>
      </c>
      <c r="K7">
        <v>279</v>
      </c>
      <c r="L7">
        <v>348</v>
      </c>
      <c r="M7" s="3" t="s">
        <v>66</v>
      </c>
      <c r="N7" t="s">
        <v>27</v>
      </c>
      <c r="O7" t="s">
        <v>28</v>
      </c>
      <c r="P7" t="s">
        <v>29</v>
      </c>
      <c r="Q7" t="s">
        <v>30</v>
      </c>
      <c r="R7" t="s">
        <v>31</v>
      </c>
      <c r="S7" t="s">
        <v>67</v>
      </c>
      <c r="T7" t="s">
        <v>33</v>
      </c>
      <c r="U7" t="s">
        <v>34</v>
      </c>
    </row>
    <row r="8" spans="1:21" x14ac:dyDescent="0.2">
      <c r="A8" t="s">
        <v>21</v>
      </c>
      <c r="B8" t="s">
        <v>55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>
        <v>296</v>
      </c>
      <c r="I8" t="str">
        <f t="shared" si="0"/>
        <v>RPB1</v>
      </c>
      <c r="J8">
        <v>89.930999999999997</v>
      </c>
      <c r="K8">
        <v>288</v>
      </c>
      <c r="L8">
        <v>372</v>
      </c>
      <c r="M8" s="3" t="s">
        <v>73</v>
      </c>
      <c r="N8" t="s">
        <v>27</v>
      </c>
      <c r="O8" t="s">
        <v>28</v>
      </c>
      <c r="P8" t="s">
        <v>29</v>
      </c>
      <c r="Q8" t="s">
        <v>30</v>
      </c>
      <c r="R8" t="s">
        <v>31</v>
      </c>
      <c r="S8" t="s">
        <v>74</v>
      </c>
      <c r="T8" t="s">
        <v>33</v>
      </c>
      <c r="U8" s="2" t="s">
        <v>54</v>
      </c>
    </row>
    <row r="9" spans="1:21" x14ac:dyDescent="0.2">
      <c r="A9" t="s">
        <v>21</v>
      </c>
      <c r="B9" t="s">
        <v>55</v>
      </c>
      <c r="C9" t="s">
        <v>47</v>
      </c>
      <c r="D9" t="s">
        <v>75</v>
      </c>
      <c r="E9" t="s">
        <v>76</v>
      </c>
      <c r="F9" t="s">
        <v>77</v>
      </c>
      <c r="G9" t="s">
        <v>78</v>
      </c>
      <c r="H9">
        <v>234</v>
      </c>
      <c r="I9" t="str">
        <f t="shared" si="0"/>
        <v>TEF</v>
      </c>
      <c r="J9">
        <v>92.14</v>
      </c>
      <c r="K9">
        <v>229</v>
      </c>
      <c r="L9">
        <v>324</v>
      </c>
      <c r="M9" s="3" t="s">
        <v>79</v>
      </c>
      <c r="N9" t="s">
        <v>27</v>
      </c>
      <c r="O9" t="s">
        <v>28</v>
      </c>
      <c r="R9" t="s">
        <v>80</v>
      </c>
      <c r="S9" t="s">
        <v>81</v>
      </c>
      <c r="T9" t="s">
        <v>33</v>
      </c>
      <c r="U9" s="2" t="s">
        <v>54</v>
      </c>
    </row>
    <row r="10" spans="1:21" x14ac:dyDescent="0.2">
      <c r="A10" t="s">
        <v>21</v>
      </c>
      <c r="B10" t="s">
        <v>82</v>
      </c>
      <c r="C10" t="s">
        <v>35</v>
      </c>
      <c r="D10" t="s">
        <v>83</v>
      </c>
      <c r="E10" t="s">
        <v>84</v>
      </c>
      <c r="F10" t="s">
        <v>85</v>
      </c>
      <c r="G10" t="s">
        <v>86</v>
      </c>
      <c r="H10">
        <v>275</v>
      </c>
      <c r="I10" t="str">
        <f t="shared" si="0"/>
        <v>LSU</v>
      </c>
      <c r="J10">
        <v>100</v>
      </c>
      <c r="K10">
        <v>270</v>
      </c>
      <c r="L10">
        <v>499</v>
      </c>
      <c r="M10" s="3" t="s">
        <v>87</v>
      </c>
      <c r="N10" t="s">
        <v>27</v>
      </c>
      <c r="O10" t="s">
        <v>28</v>
      </c>
      <c r="P10" t="s">
        <v>29</v>
      </c>
      <c r="Q10" t="s">
        <v>30</v>
      </c>
      <c r="R10" t="s">
        <v>31</v>
      </c>
      <c r="S10" t="s">
        <v>67</v>
      </c>
      <c r="T10" t="s">
        <v>33</v>
      </c>
      <c r="U10" t="s">
        <v>34</v>
      </c>
    </row>
    <row r="11" spans="1:21" x14ac:dyDescent="0.2">
      <c r="A11" t="s">
        <v>21</v>
      </c>
      <c r="B11" t="s">
        <v>82</v>
      </c>
      <c r="C11" t="s">
        <v>68</v>
      </c>
      <c r="D11" t="s">
        <v>62</v>
      </c>
      <c r="E11" t="s">
        <v>88</v>
      </c>
      <c r="F11" t="s">
        <v>89</v>
      </c>
      <c r="G11" t="s">
        <v>90</v>
      </c>
      <c r="H11">
        <v>290</v>
      </c>
      <c r="I11" t="str">
        <f t="shared" si="0"/>
        <v>RPB1</v>
      </c>
      <c r="J11">
        <v>99.653000000000006</v>
      </c>
      <c r="K11">
        <v>288</v>
      </c>
      <c r="L11">
        <v>527</v>
      </c>
      <c r="M11" s="3" t="s">
        <v>91</v>
      </c>
      <c r="N11" t="s">
        <v>27</v>
      </c>
      <c r="O11" t="s">
        <v>28</v>
      </c>
      <c r="P11" t="s">
        <v>29</v>
      </c>
      <c r="Q11" t="s">
        <v>30</v>
      </c>
      <c r="R11" t="s">
        <v>31</v>
      </c>
      <c r="S11" t="s">
        <v>67</v>
      </c>
      <c r="T11" t="s">
        <v>33</v>
      </c>
      <c r="U11" t="s">
        <v>34</v>
      </c>
    </row>
    <row r="12" spans="1:21" x14ac:dyDescent="0.2">
      <c r="A12" t="s">
        <v>21</v>
      </c>
      <c r="B12" t="s">
        <v>82</v>
      </c>
      <c r="C12" t="s">
        <v>47</v>
      </c>
      <c r="D12" t="s">
        <v>92</v>
      </c>
      <c r="E12" t="s">
        <v>93</v>
      </c>
      <c r="F12" t="s">
        <v>94</v>
      </c>
      <c r="G12" t="s">
        <v>95</v>
      </c>
      <c r="H12">
        <v>239</v>
      </c>
      <c r="I12" t="str">
        <f t="shared" si="0"/>
        <v>TEF</v>
      </c>
      <c r="J12">
        <v>99.566999999999993</v>
      </c>
      <c r="K12">
        <v>231</v>
      </c>
      <c r="L12">
        <v>420</v>
      </c>
      <c r="M12" s="3" t="s">
        <v>96</v>
      </c>
      <c r="N12" t="s">
        <v>27</v>
      </c>
      <c r="O12" t="s">
        <v>28</v>
      </c>
      <c r="P12" t="s">
        <v>29</v>
      </c>
      <c r="Q12" t="s">
        <v>30</v>
      </c>
      <c r="R12" t="s">
        <v>31</v>
      </c>
      <c r="S12" t="s">
        <v>67</v>
      </c>
      <c r="T12" t="s">
        <v>33</v>
      </c>
      <c r="U12" t="s">
        <v>34</v>
      </c>
    </row>
    <row r="13" spans="1:21" x14ac:dyDescent="0.2">
      <c r="A13" t="s">
        <v>21</v>
      </c>
      <c r="B13" t="s">
        <v>97</v>
      </c>
      <c r="C13" t="s">
        <v>23</v>
      </c>
      <c r="D13" t="s">
        <v>98</v>
      </c>
      <c r="E13" t="s">
        <v>99</v>
      </c>
      <c r="F13" t="s">
        <v>100</v>
      </c>
      <c r="G13" t="s">
        <v>101</v>
      </c>
      <c r="H13">
        <v>306</v>
      </c>
      <c r="I13" t="str">
        <f t="shared" si="0"/>
        <v>ITS</v>
      </c>
      <c r="J13">
        <v>97.36</v>
      </c>
      <c r="K13">
        <v>303</v>
      </c>
      <c r="L13">
        <v>510</v>
      </c>
      <c r="M13" s="3" t="s">
        <v>102</v>
      </c>
      <c r="N13" t="s">
        <v>27</v>
      </c>
      <c r="O13" t="s">
        <v>28</v>
      </c>
      <c r="P13" t="s">
        <v>29</v>
      </c>
      <c r="Q13" t="s">
        <v>30</v>
      </c>
      <c r="R13" t="s">
        <v>31</v>
      </c>
      <c r="S13" t="s">
        <v>103</v>
      </c>
      <c r="T13" t="s">
        <v>33</v>
      </c>
      <c r="U13" t="s">
        <v>54</v>
      </c>
    </row>
    <row r="14" spans="1:21" x14ac:dyDescent="0.2">
      <c r="A14" t="s">
        <v>21</v>
      </c>
      <c r="B14" t="s">
        <v>97</v>
      </c>
      <c r="C14" t="s">
        <v>35</v>
      </c>
      <c r="D14" t="s">
        <v>104</v>
      </c>
      <c r="E14" t="s">
        <v>105</v>
      </c>
      <c r="F14" t="s">
        <v>106</v>
      </c>
      <c r="G14" t="s">
        <v>107</v>
      </c>
      <c r="H14">
        <v>291</v>
      </c>
      <c r="I14" t="str">
        <f t="shared" si="0"/>
        <v>LSU</v>
      </c>
      <c r="J14">
        <v>98.929000000000002</v>
      </c>
      <c r="K14">
        <v>280</v>
      </c>
      <c r="L14">
        <v>501</v>
      </c>
      <c r="M14" s="3" t="s">
        <v>108</v>
      </c>
      <c r="N14" t="s">
        <v>27</v>
      </c>
      <c r="O14" t="s">
        <v>28</v>
      </c>
      <c r="P14" t="s">
        <v>29</v>
      </c>
      <c r="Q14" t="s">
        <v>30</v>
      </c>
      <c r="R14" t="s">
        <v>31</v>
      </c>
      <c r="S14" t="s">
        <v>109</v>
      </c>
      <c r="T14" t="s">
        <v>33</v>
      </c>
      <c r="U14" t="s">
        <v>34</v>
      </c>
    </row>
    <row r="15" spans="1:21" x14ac:dyDescent="0.2">
      <c r="A15" t="s">
        <v>21</v>
      </c>
      <c r="B15" t="s">
        <v>97</v>
      </c>
      <c r="C15" t="s">
        <v>47</v>
      </c>
      <c r="D15" t="s">
        <v>110</v>
      </c>
      <c r="E15" t="s">
        <v>111</v>
      </c>
      <c r="F15" t="s">
        <v>112</v>
      </c>
      <c r="G15" t="s">
        <v>113</v>
      </c>
      <c r="H15">
        <v>229</v>
      </c>
      <c r="I15" t="str">
        <f t="shared" si="0"/>
        <v>TEF</v>
      </c>
      <c r="J15">
        <v>100</v>
      </c>
      <c r="K15">
        <v>226</v>
      </c>
      <c r="L15">
        <v>418</v>
      </c>
      <c r="M15">
        <v>0</v>
      </c>
      <c r="N15" t="s">
        <v>27</v>
      </c>
      <c r="O15" t="s">
        <v>28</v>
      </c>
      <c r="P15" t="s">
        <v>29</v>
      </c>
      <c r="Q15" t="s">
        <v>30</v>
      </c>
      <c r="R15" t="s">
        <v>31</v>
      </c>
      <c r="S15" t="s">
        <v>67</v>
      </c>
      <c r="T15" t="s">
        <v>33</v>
      </c>
      <c r="U15" t="s">
        <v>34</v>
      </c>
    </row>
    <row r="16" spans="1:21" x14ac:dyDescent="0.2">
      <c r="A16" t="s">
        <v>114</v>
      </c>
      <c r="B16" t="s">
        <v>55</v>
      </c>
      <c r="C16" t="s">
        <v>47</v>
      </c>
      <c r="D16" t="s">
        <v>115</v>
      </c>
      <c r="E16" t="s">
        <v>116</v>
      </c>
      <c r="F16" t="s">
        <v>117</v>
      </c>
      <c r="G16" t="s">
        <v>118</v>
      </c>
      <c r="H16">
        <v>248</v>
      </c>
      <c r="I16" t="s">
        <v>47</v>
      </c>
      <c r="J16">
        <v>92.3</v>
      </c>
      <c r="K16">
        <v>246</v>
      </c>
      <c r="L16">
        <v>350</v>
      </c>
      <c r="M16">
        <v>2.5999999999999998E-93</v>
      </c>
      <c r="N16" t="s">
        <v>27</v>
      </c>
      <c r="O16" t="s">
        <v>28</v>
      </c>
      <c r="P16" t="s">
        <v>51</v>
      </c>
      <c r="Q16" t="s">
        <v>119</v>
      </c>
      <c r="R16" t="s">
        <v>120</v>
      </c>
      <c r="S16" t="s">
        <v>121</v>
      </c>
      <c r="T16" t="s">
        <v>33</v>
      </c>
      <c r="U16" t="s">
        <v>54</v>
      </c>
    </row>
    <row r="17" spans="1:21" x14ac:dyDescent="0.2">
      <c r="A17" t="s">
        <v>114</v>
      </c>
      <c r="B17" t="s">
        <v>82</v>
      </c>
      <c r="C17" t="s">
        <v>47</v>
      </c>
      <c r="D17" t="s">
        <v>122</v>
      </c>
      <c r="E17" t="s">
        <v>123</v>
      </c>
      <c r="F17" t="s">
        <v>124</v>
      </c>
      <c r="G17" t="s">
        <v>125</v>
      </c>
      <c r="H17">
        <v>248</v>
      </c>
      <c r="I17" t="s">
        <v>47</v>
      </c>
      <c r="J17">
        <v>99.6</v>
      </c>
      <c r="K17">
        <v>246</v>
      </c>
      <c r="L17">
        <v>449</v>
      </c>
      <c r="M17">
        <v>2.5000000000000001E-123</v>
      </c>
      <c r="N17" t="s">
        <v>27</v>
      </c>
      <c r="O17" t="s">
        <v>28</v>
      </c>
      <c r="P17" t="s">
        <v>29</v>
      </c>
      <c r="Q17" t="s">
        <v>30</v>
      </c>
      <c r="R17" t="s">
        <v>31</v>
      </c>
      <c r="S17" t="s">
        <v>67</v>
      </c>
      <c r="T17" t="s">
        <v>33</v>
      </c>
      <c r="U17" t="s">
        <v>34</v>
      </c>
    </row>
    <row r="18" spans="1:21" x14ac:dyDescent="0.2">
      <c r="A18" t="s">
        <v>114</v>
      </c>
      <c r="B18" t="s">
        <v>22</v>
      </c>
      <c r="C18" t="s">
        <v>42</v>
      </c>
      <c r="D18" t="s">
        <v>126</v>
      </c>
      <c r="E18" t="s">
        <v>127</v>
      </c>
      <c r="F18" t="s">
        <v>128</v>
      </c>
      <c r="G18" t="s">
        <v>129</v>
      </c>
      <c r="H18">
        <v>278</v>
      </c>
      <c r="I18" t="s">
        <v>42</v>
      </c>
      <c r="J18">
        <v>99.3</v>
      </c>
      <c r="K18">
        <v>276</v>
      </c>
      <c r="L18">
        <v>499</v>
      </c>
      <c r="M18">
        <v>2.8E-138</v>
      </c>
      <c r="N18" t="s">
        <v>27</v>
      </c>
      <c r="O18" t="s">
        <v>28</v>
      </c>
      <c r="P18" t="s">
        <v>29</v>
      </c>
      <c r="Q18" t="s">
        <v>30</v>
      </c>
      <c r="R18" t="s">
        <v>31</v>
      </c>
      <c r="S18" t="s">
        <v>130</v>
      </c>
      <c r="T18" t="s">
        <v>40</v>
      </c>
      <c r="U18" t="s">
        <v>41</v>
      </c>
    </row>
    <row r="19" spans="1:21" x14ac:dyDescent="0.2">
      <c r="A19" t="s">
        <v>114</v>
      </c>
      <c r="B19" t="s">
        <v>55</v>
      </c>
      <c r="C19" t="s">
        <v>42</v>
      </c>
      <c r="D19" t="s">
        <v>131</v>
      </c>
      <c r="E19" t="s">
        <v>132</v>
      </c>
      <c r="F19" t="s">
        <v>133</v>
      </c>
      <c r="G19" t="s">
        <v>134</v>
      </c>
      <c r="H19">
        <v>278</v>
      </c>
      <c r="I19" t="s">
        <v>42</v>
      </c>
      <c r="J19">
        <v>98.9</v>
      </c>
      <c r="K19">
        <v>275</v>
      </c>
      <c r="L19">
        <v>492</v>
      </c>
      <c r="M19">
        <v>4.7000000000000002E-136</v>
      </c>
      <c r="N19" t="s">
        <v>27</v>
      </c>
      <c r="O19" t="s">
        <v>28</v>
      </c>
      <c r="P19" t="s">
        <v>29</v>
      </c>
      <c r="Q19" t="s">
        <v>30</v>
      </c>
      <c r="R19" t="s">
        <v>31</v>
      </c>
      <c r="S19" t="s">
        <v>135</v>
      </c>
      <c r="T19" t="s">
        <v>33</v>
      </c>
      <c r="U19" s="2" t="s">
        <v>54</v>
      </c>
    </row>
    <row r="20" spans="1:21" x14ac:dyDescent="0.2">
      <c r="A20" t="s">
        <v>114</v>
      </c>
      <c r="B20" t="s">
        <v>82</v>
      </c>
      <c r="C20" t="s">
        <v>42</v>
      </c>
      <c r="D20" t="s">
        <v>136</v>
      </c>
      <c r="E20" t="s">
        <v>137</v>
      </c>
      <c r="F20" t="s">
        <v>138</v>
      </c>
      <c r="G20" t="s">
        <v>139</v>
      </c>
      <c r="H20">
        <v>278</v>
      </c>
      <c r="I20" t="s">
        <v>42</v>
      </c>
      <c r="J20">
        <v>100</v>
      </c>
      <c r="K20">
        <v>275</v>
      </c>
      <c r="L20">
        <v>508</v>
      </c>
      <c r="M20">
        <v>4.6999999999999998E-141</v>
      </c>
      <c r="N20" t="s">
        <v>27</v>
      </c>
      <c r="O20" t="s">
        <v>28</v>
      </c>
      <c r="P20" t="s">
        <v>29</v>
      </c>
      <c r="Q20" t="s">
        <v>30</v>
      </c>
      <c r="R20" t="s">
        <v>31</v>
      </c>
      <c r="S20" t="s">
        <v>67</v>
      </c>
      <c r="T20" t="s">
        <v>33</v>
      </c>
      <c r="U20" t="s">
        <v>34</v>
      </c>
    </row>
    <row r="21" spans="1:21" x14ac:dyDescent="0.2">
      <c r="A21" t="s">
        <v>114</v>
      </c>
      <c r="B21" t="s">
        <v>97</v>
      </c>
      <c r="C21" t="s">
        <v>42</v>
      </c>
      <c r="D21" t="s">
        <v>140</v>
      </c>
      <c r="E21" t="s">
        <v>141</v>
      </c>
      <c r="F21" t="s">
        <v>142</v>
      </c>
      <c r="G21" t="s">
        <v>143</v>
      </c>
      <c r="H21">
        <v>278</v>
      </c>
      <c r="I21" t="s">
        <v>42</v>
      </c>
      <c r="J21">
        <v>100</v>
      </c>
      <c r="K21">
        <v>275</v>
      </c>
      <c r="L21">
        <v>508</v>
      </c>
      <c r="M21">
        <v>4.6999999999999998E-141</v>
      </c>
      <c r="N21" t="s">
        <v>27</v>
      </c>
      <c r="O21" t="s">
        <v>28</v>
      </c>
      <c r="P21" t="s">
        <v>29</v>
      </c>
      <c r="Q21" t="s">
        <v>30</v>
      </c>
      <c r="R21" t="s">
        <v>31</v>
      </c>
      <c r="S21" t="s">
        <v>103</v>
      </c>
      <c r="T21" t="s">
        <v>33</v>
      </c>
      <c r="U21" t="s">
        <v>34</v>
      </c>
    </row>
    <row r="22" spans="1:21" x14ac:dyDescent="0.2">
      <c r="A22" t="s">
        <v>114</v>
      </c>
      <c r="B22" t="s">
        <v>82</v>
      </c>
      <c r="C22" t="s">
        <v>35</v>
      </c>
      <c r="D22" t="s">
        <v>144</v>
      </c>
      <c r="E22" t="s">
        <v>145</v>
      </c>
      <c r="F22" t="s">
        <v>146</v>
      </c>
      <c r="G22" t="s">
        <v>147</v>
      </c>
      <c r="H22">
        <v>288</v>
      </c>
      <c r="I22" t="s">
        <v>35</v>
      </c>
      <c r="J22">
        <v>99.6</v>
      </c>
      <c r="K22">
        <v>269</v>
      </c>
      <c r="L22">
        <v>492</v>
      </c>
      <c r="M22">
        <v>4.9E-136</v>
      </c>
      <c r="N22" t="s">
        <v>27</v>
      </c>
      <c r="O22" t="s">
        <v>28</v>
      </c>
      <c r="P22" t="s">
        <v>29</v>
      </c>
      <c r="Q22" t="s">
        <v>30</v>
      </c>
      <c r="R22" t="s">
        <v>31</v>
      </c>
      <c r="S22" t="s">
        <v>67</v>
      </c>
      <c r="T22" t="s">
        <v>33</v>
      </c>
      <c r="U22" t="s">
        <v>34</v>
      </c>
    </row>
    <row r="23" spans="1:21" x14ac:dyDescent="0.2">
      <c r="A23" t="s">
        <v>114</v>
      </c>
      <c r="B23" t="s">
        <v>97</v>
      </c>
      <c r="C23" t="s">
        <v>35</v>
      </c>
      <c r="D23" t="s">
        <v>148</v>
      </c>
      <c r="E23" t="s">
        <v>149</v>
      </c>
      <c r="F23" t="s">
        <v>150</v>
      </c>
      <c r="G23" t="s">
        <v>151</v>
      </c>
      <c r="H23">
        <v>280</v>
      </c>
      <c r="I23" t="s">
        <v>35</v>
      </c>
      <c r="J23">
        <v>98.9</v>
      </c>
      <c r="K23">
        <v>280</v>
      </c>
      <c r="L23">
        <v>501</v>
      </c>
      <c r="M23">
        <v>7.9000000000000002E-139</v>
      </c>
      <c r="N23" t="s">
        <v>27</v>
      </c>
      <c r="O23" t="s">
        <v>28</v>
      </c>
      <c r="P23" t="s">
        <v>29</v>
      </c>
      <c r="Q23" t="s">
        <v>30</v>
      </c>
      <c r="R23" t="s">
        <v>31</v>
      </c>
      <c r="S23" t="s">
        <v>109</v>
      </c>
      <c r="T23" t="s">
        <v>33</v>
      </c>
      <c r="U23" t="s">
        <v>34</v>
      </c>
    </row>
    <row r="24" spans="1:21" x14ac:dyDescent="0.2">
      <c r="A24" t="s">
        <v>114</v>
      </c>
      <c r="B24" t="s">
        <v>22</v>
      </c>
      <c r="C24" t="s">
        <v>23</v>
      </c>
      <c r="D24" t="s">
        <v>152</v>
      </c>
      <c r="E24" t="s">
        <v>153</v>
      </c>
      <c r="F24" t="s">
        <v>154</v>
      </c>
      <c r="G24" t="s">
        <v>155</v>
      </c>
      <c r="H24">
        <v>303</v>
      </c>
      <c r="I24" t="s">
        <v>23</v>
      </c>
      <c r="J24">
        <v>100</v>
      </c>
      <c r="K24">
        <v>303</v>
      </c>
      <c r="L24">
        <v>560</v>
      </c>
      <c r="M24">
        <v>1.4000000000000001E-156</v>
      </c>
      <c r="N24" t="s">
        <v>27</v>
      </c>
      <c r="O24" t="s">
        <v>156</v>
      </c>
      <c r="P24" t="s">
        <v>157</v>
      </c>
      <c r="Q24" t="s">
        <v>158</v>
      </c>
      <c r="S24" t="s">
        <v>159</v>
      </c>
      <c r="T24" t="s">
        <v>40</v>
      </c>
      <c r="U24" t="s">
        <v>41</v>
      </c>
    </row>
    <row r="25" spans="1:21" x14ac:dyDescent="0.2">
      <c r="A25" t="s">
        <v>114</v>
      </c>
      <c r="B25" t="s">
        <v>55</v>
      </c>
      <c r="C25" t="s">
        <v>23</v>
      </c>
      <c r="D25" t="s">
        <v>160</v>
      </c>
      <c r="E25" t="s">
        <v>161</v>
      </c>
      <c r="F25" t="s">
        <v>162</v>
      </c>
      <c r="G25" t="s">
        <v>163</v>
      </c>
      <c r="H25">
        <v>297</v>
      </c>
      <c r="I25" t="s">
        <v>23</v>
      </c>
      <c r="J25">
        <v>99.3</v>
      </c>
      <c r="K25">
        <v>297</v>
      </c>
      <c r="L25">
        <v>538</v>
      </c>
      <c r="M25">
        <v>6.3999999999999996E-150</v>
      </c>
      <c r="N25" t="s">
        <v>27</v>
      </c>
      <c r="O25" t="s">
        <v>28</v>
      </c>
      <c r="P25" t="s">
        <v>29</v>
      </c>
      <c r="Q25" t="s">
        <v>30</v>
      </c>
      <c r="R25" t="s">
        <v>31</v>
      </c>
      <c r="S25" t="s">
        <v>61</v>
      </c>
      <c r="T25" t="s">
        <v>33</v>
      </c>
      <c r="U25" t="s">
        <v>34</v>
      </c>
    </row>
    <row r="26" spans="1:21" x14ac:dyDescent="0.2">
      <c r="A26" t="s">
        <v>114</v>
      </c>
      <c r="B26" t="s">
        <v>82</v>
      </c>
      <c r="C26" t="s">
        <v>23</v>
      </c>
      <c r="D26" t="s">
        <v>164</v>
      </c>
      <c r="E26" t="s">
        <v>165</v>
      </c>
      <c r="F26" t="s">
        <v>166</v>
      </c>
      <c r="G26" t="s">
        <v>167</v>
      </c>
      <c r="H26">
        <v>281</v>
      </c>
      <c r="I26" t="s">
        <v>23</v>
      </c>
      <c r="J26">
        <v>89</v>
      </c>
      <c r="K26">
        <v>199</v>
      </c>
      <c r="L26">
        <v>237</v>
      </c>
      <c r="M26">
        <v>2.0000000000000001E-59</v>
      </c>
      <c r="N26" t="s">
        <v>27</v>
      </c>
      <c r="O26" t="s">
        <v>28</v>
      </c>
      <c r="P26" t="s">
        <v>29</v>
      </c>
      <c r="Q26" t="s">
        <v>30</v>
      </c>
      <c r="R26" t="s">
        <v>31</v>
      </c>
      <c r="S26" t="s">
        <v>168</v>
      </c>
      <c r="T26" t="s">
        <v>33</v>
      </c>
      <c r="U26" t="s">
        <v>54</v>
      </c>
    </row>
    <row r="27" spans="1:21" x14ac:dyDescent="0.2">
      <c r="A27" t="s">
        <v>114</v>
      </c>
      <c r="B27" t="s">
        <v>97</v>
      </c>
      <c r="C27" t="s">
        <v>23</v>
      </c>
      <c r="D27" t="s">
        <v>169</v>
      </c>
      <c r="E27" t="s">
        <v>170</v>
      </c>
      <c r="F27" t="s">
        <v>171</v>
      </c>
      <c r="G27" t="s">
        <v>172</v>
      </c>
      <c r="H27">
        <v>302</v>
      </c>
      <c r="I27" t="s">
        <v>23</v>
      </c>
      <c r="J27">
        <v>97</v>
      </c>
      <c r="K27">
        <v>305</v>
      </c>
      <c r="L27">
        <v>507</v>
      </c>
      <c r="M27">
        <v>1.9E-140</v>
      </c>
      <c r="N27" t="s">
        <v>27</v>
      </c>
      <c r="O27" t="s">
        <v>28</v>
      </c>
      <c r="P27" t="s">
        <v>29</v>
      </c>
      <c r="Q27" t="s">
        <v>30</v>
      </c>
      <c r="R27" t="s">
        <v>31</v>
      </c>
      <c r="S27" t="s">
        <v>67</v>
      </c>
      <c r="T27" t="s">
        <v>33</v>
      </c>
      <c r="U27" t="s">
        <v>34</v>
      </c>
    </row>
    <row r="28" spans="1:21" x14ac:dyDescent="0.2">
      <c r="A28" t="s">
        <v>173</v>
      </c>
      <c r="B28" t="s">
        <v>55</v>
      </c>
      <c r="C28" t="s">
        <v>23</v>
      </c>
      <c r="D28" t="s">
        <v>174</v>
      </c>
      <c r="E28" t="s">
        <v>174</v>
      </c>
      <c r="F28" t="s">
        <v>175</v>
      </c>
      <c r="G28" t="s">
        <v>176</v>
      </c>
      <c r="H28">
        <v>297</v>
      </c>
      <c r="I28" t="s">
        <v>23</v>
      </c>
      <c r="J28">
        <v>99</v>
      </c>
      <c r="K28">
        <v>295</v>
      </c>
      <c r="L28">
        <v>516</v>
      </c>
      <c r="M28">
        <v>1.8000000000000001E-141</v>
      </c>
      <c r="N28" t="s">
        <v>27</v>
      </c>
      <c r="O28" t="s">
        <v>28</v>
      </c>
      <c r="P28" t="s">
        <v>29</v>
      </c>
      <c r="Q28" t="s">
        <v>30</v>
      </c>
      <c r="R28" t="s">
        <v>31</v>
      </c>
      <c r="S28" t="s">
        <v>61</v>
      </c>
      <c r="T28" t="s">
        <v>33</v>
      </c>
      <c r="U28" t="s">
        <v>34</v>
      </c>
    </row>
    <row r="29" spans="1:21" x14ac:dyDescent="0.2">
      <c r="A29" t="s">
        <v>173</v>
      </c>
      <c r="B29" t="s">
        <v>82</v>
      </c>
      <c r="C29" t="s">
        <v>23</v>
      </c>
      <c r="D29" t="s">
        <v>174</v>
      </c>
      <c r="E29" t="s">
        <v>174</v>
      </c>
      <c r="F29" t="s">
        <v>177</v>
      </c>
      <c r="G29" t="s">
        <v>178</v>
      </c>
      <c r="H29">
        <v>272</v>
      </c>
      <c r="I29" t="s">
        <v>23</v>
      </c>
      <c r="J29">
        <v>77</v>
      </c>
      <c r="K29">
        <v>305</v>
      </c>
      <c r="L29">
        <v>233</v>
      </c>
      <c r="M29">
        <v>2.7999999999999999E-56</v>
      </c>
      <c r="N29" t="s">
        <v>27</v>
      </c>
      <c r="O29" t="s">
        <v>28</v>
      </c>
      <c r="P29" t="s">
        <v>29</v>
      </c>
      <c r="Q29" t="s">
        <v>30</v>
      </c>
      <c r="R29" t="s">
        <v>31</v>
      </c>
      <c r="S29" t="s">
        <v>67</v>
      </c>
      <c r="T29" t="s">
        <v>33</v>
      </c>
      <c r="U29" t="s">
        <v>34</v>
      </c>
    </row>
    <row r="30" spans="1:21" x14ac:dyDescent="0.2">
      <c r="A30" t="s">
        <v>173</v>
      </c>
      <c r="B30" t="s">
        <v>97</v>
      </c>
      <c r="C30" t="s">
        <v>23</v>
      </c>
      <c r="D30" t="s">
        <v>174</v>
      </c>
      <c r="E30" t="s">
        <v>174</v>
      </c>
      <c r="F30" t="s">
        <v>179</v>
      </c>
      <c r="G30" t="s">
        <v>180</v>
      </c>
      <c r="H30">
        <v>304</v>
      </c>
      <c r="I30" t="s">
        <v>23</v>
      </c>
      <c r="J30">
        <v>96</v>
      </c>
      <c r="K30">
        <v>300</v>
      </c>
      <c r="L30">
        <v>479</v>
      </c>
      <c r="M30">
        <v>1.3E-130</v>
      </c>
      <c r="N30" t="s">
        <v>27</v>
      </c>
      <c r="O30" t="s">
        <v>28</v>
      </c>
      <c r="P30" t="s">
        <v>29</v>
      </c>
      <c r="Q30" t="s">
        <v>30</v>
      </c>
      <c r="R30" t="s">
        <v>31</v>
      </c>
      <c r="S30" t="s">
        <v>109</v>
      </c>
      <c r="T30" t="s">
        <v>33</v>
      </c>
      <c r="U30" t="s">
        <v>34</v>
      </c>
    </row>
    <row r="31" spans="1:21" x14ac:dyDescent="0.2">
      <c r="A31" t="s">
        <v>173</v>
      </c>
      <c r="B31" t="s">
        <v>22</v>
      </c>
      <c r="C31" t="s">
        <v>42</v>
      </c>
      <c r="D31" t="s">
        <v>174</v>
      </c>
      <c r="E31" t="s">
        <v>174</v>
      </c>
      <c r="F31" t="s">
        <v>181</v>
      </c>
      <c r="G31" t="s">
        <v>182</v>
      </c>
      <c r="H31">
        <v>267</v>
      </c>
      <c r="I31" t="s">
        <v>42</v>
      </c>
      <c r="J31">
        <v>99.2</v>
      </c>
      <c r="K31">
        <v>262</v>
      </c>
      <c r="L31">
        <v>464</v>
      </c>
      <c r="M31">
        <v>2.5E-126</v>
      </c>
      <c r="N31" t="s">
        <v>27</v>
      </c>
      <c r="O31" t="s">
        <v>28</v>
      </c>
      <c r="P31" t="s">
        <v>29</v>
      </c>
      <c r="Q31" t="s">
        <v>30</v>
      </c>
      <c r="R31" t="s">
        <v>31</v>
      </c>
      <c r="S31" t="s">
        <v>130</v>
      </c>
      <c r="T31" t="s">
        <v>40</v>
      </c>
      <c r="U31" t="s">
        <v>41</v>
      </c>
    </row>
    <row r="32" spans="1:21" x14ac:dyDescent="0.2">
      <c r="A32" t="s">
        <v>173</v>
      </c>
      <c r="B32" t="s">
        <v>55</v>
      </c>
      <c r="C32" t="s">
        <v>42</v>
      </c>
      <c r="D32" t="s">
        <v>174</v>
      </c>
      <c r="E32" t="s">
        <v>174</v>
      </c>
      <c r="F32" t="s">
        <v>183</v>
      </c>
      <c r="G32" t="s">
        <v>184</v>
      </c>
      <c r="H32">
        <v>272</v>
      </c>
      <c r="I32" t="s">
        <v>42</v>
      </c>
      <c r="J32">
        <v>98.5</v>
      </c>
      <c r="K32">
        <v>263</v>
      </c>
      <c r="L32">
        <v>450</v>
      </c>
      <c r="M32">
        <v>5.7000000000000001E-122</v>
      </c>
      <c r="N32" t="s">
        <v>27</v>
      </c>
      <c r="O32" t="s">
        <v>28</v>
      </c>
      <c r="P32" t="s">
        <v>29</v>
      </c>
      <c r="Q32" t="s">
        <v>30</v>
      </c>
      <c r="R32" t="s">
        <v>31</v>
      </c>
      <c r="S32" t="s">
        <v>135</v>
      </c>
      <c r="T32" t="s">
        <v>33</v>
      </c>
      <c r="U32" s="2" t="s">
        <v>54</v>
      </c>
    </row>
    <row r="33" spans="1:21" x14ac:dyDescent="0.2">
      <c r="A33" t="s">
        <v>173</v>
      </c>
      <c r="B33" t="s">
        <v>82</v>
      </c>
      <c r="C33" t="s">
        <v>42</v>
      </c>
      <c r="D33" t="s">
        <v>174</v>
      </c>
      <c r="E33" t="s">
        <v>174</v>
      </c>
      <c r="F33" t="s">
        <v>185</v>
      </c>
      <c r="G33" t="s">
        <v>186</v>
      </c>
      <c r="H33">
        <v>273</v>
      </c>
      <c r="I33" t="s">
        <v>42</v>
      </c>
      <c r="J33">
        <v>99.3</v>
      </c>
      <c r="K33">
        <v>267</v>
      </c>
      <c r="L33">
        <v>473</v>
      </c>
      <c r="M33">
        <v>5.0000000000000003E-129</v>
      </c>
      <c r="N33" t="s">
        <v>27</v>
      </c>
      <c r="O33" t="s">
        <v>28</v>
      </c>
      <c r="P33" t="s">
        <v>29</v>
      </c>
      <c r="Q33" t="s">
        <v>30</v>
      </c>
      <c r="R33" t="s">
        <v>31</v>
      </c>
      <c r="S33" t="s">
        <v>67</v>
      </c>
      <c r="T33" t="s">
        <v>33</v>
      </c>
      <c r="U33" t="s">
        <v>34</v>
      </c>
    </row>
    <row r="34" spans="1:21" x14ac:dyDescent="0.2">
      <c r="A34" t="s">
        <v>173</v>
      </c>
      <c r="B34" t="s">
        <v>55</v>
      </c>
      <c r="C34" t="s">
        <v>35</v>
      </c>
      <c r="D34" t="s">
        <v>174</v>
      </c>
      <c r="E34" t="s">
        <v>174</v>
      </c>
      <c r="F34" t="s">
        <v>187</v>
      </c>
      <c r="G34" t="s">
        <v>188</v>
      </c>
      <c r="H34">
        <v>292</v>
      </c>
      <c r="I34" t="s">
        <v>35</v>
      </c>
      <c r="J34">
        <v>88.5</v>
      </c>
      <c r="K34">
        <v>288</v>
      </c>
      <c r="L34">
        <v>357</v>
      </c>
      <c r="M34">
        <v>1.1E-93</v>
      </c>
      <c r="N34" t="s">
        <v>27</v>
      </c>
      <c r="O34" t="s">
        <v>28</v>
      </c>
      <c r="P34" t="s">
        <v>29</v>
      </c>
      <c r="Q34" t="s">
        <v>30</v>
      </c>
      <c r="R34" t="s">
        <v>31</v>
      </c>
      <c r="S34" t="s">
        <v>67</v>
      </c>
      <c r="T34" t="s">
        <v>33</v>
      </c>
      <c r="U34" t="s">
        <v>34</v>
      </c>
    </row>
    <row r="35" spans="1:21" x14ac:dyDescent="0.2">
      <c r="A35" t="s">
        <v>173</v>
      </c>
      <c r="B35" t="s">
        <v>82</v>
      </c>
      <c r="C35" t="s">
        <v>35</v>
      </c>
      <c r="D35" t="s">
        <v>174</v>
      </c>
      <c r="E35" t="s">
        <v>174</v>
      </c>
      <c r="F35" t="s">
        <v>189</v>
      </c>
      <c r="G35" t="s">
        <v>190</v>
      </c>
      <c r="H35">
        <v>283</v>
      </c>
      <c r="I35" t="s">
        <v>35</v>
      </c>
      <c r="J35">
        <v>98.5</v>
      </c>
      <c r="K35">
        <v>273</v>
      </c>
      <c r="L35">
        <v>472</v>
      </c>
      <c r="M35">
        <v>1.9000000000000001E-128</v>
      </c>
      <c r="N35" t="s">
        <v>27</v>
      </c>
      <c r="O35" t="s">
        <v>28</v>
      </c>
      <c r="P35" t="s">
        <v>29</v>
      </c>
      <c r="Q35" t="s">
        <v>30</v>
      </c>
      <c r="R35" t="s">
        <v>31</v>
      </c>
      <c r="S35" t="s">
        <v>67</v>
      </c>
      <c r="T35" t="s">
        <v>33</v>
      </c>
      <c r="U35" t="s">
        <v>34</v>
      </c>
    </row>
    <row r="36" spans="1:21" x14ac:dyDescent="0.2">
      <c r="A36" t="s">
        <v>173</v>
      </c>
      <c r="B36" t="s">
        <v>97</v>
      </c>
      <c r="C36" t="s">
        <v>35</v>
      </c>
      <c r="D36" t="s">
        <v>174</v>
      </c>
      <c r="E36" t="s">
        <v>174</v>
      </c>
      <c r="F36" t="s">
        <v>191</v>
      </c>
      <c r="G36" t="s">
        <v>192</v>
      </c>
      <c r="H36">
        <v>285</v>
      </c>
      <c r="I36" t="s">
        <v>35</v>
      </c>
      <c r="J36">
        <v>97.8</v>
      </c>
      <c r="K36">
        <v>277</v>
      </c>
      <c r="L36">
        <v>473</v>
      </c>
      <c r="M36">
        <v>5.4E-129</v>
      </c>
      <c r="N36" t="s">
        <v>27</v>
      </c>
      <c r="O36" t="s">
        <v>28</v>
      </c>
      <c r="P36" t="s">
        <v>29</v>
      </c>
      <c r="Q36" t="s">
        <v>30</v>
      </c>
      <c r="R36" t="s">
        <v>31</v>
      </c>
      <c r="S36" t="s">
        <v>67</v>
      </c>
      <c r="T36" t="s">
        <v>33</v>
      </c>
      <c r="U36" t="s">
        <v>34</v>
      </c>
    </row>
    <row r="37" spans="1:21" x14ac:dyDescent="0.2">
      <c r="A37" t="s">
        <v>173</v>
      </c>
      <c r="B37" t="s">
        <v>22</v>
      </c>
      <c r="C37" t="s">
        <v>47</v>
      </c>
      <c r="D37" t="s">
        <v>174</v>
      </c>
      <c r="E37" t="s">
        <v>174</v>
      </c>
      <c r="F37" t="s">
        <v>193</v>
      </c>
      <c r="G37" t="s">
        <v>194</v>
      </c>
      <c r="H37">
        <v>232</v>
      </c>
      <c r="I37" t="s">
        <v>47</v>
      </c>
      <c r="J37">
        <v>98.7</v>
      </c>
      <c r="K37">
        <v>232</v>
      </c>
      <c r="L37">
        <v>403</v>
      </c>
      <c r="M37">
        <v>6.2999999999999997E-108</v>
      </c>
      <c r="N37" t="s">
        <v>27</v>
      </c>
      <c r="O37" t="s">
        <v>28</v>
      </c>
      <c r="P37" t="s">
        <v>29</v>
      </c>
      <c r="Q37" t="s">
        <v>30</v>
      </c>
      <c r="R37" t="s">
        <v>31</v>
      </c>
      <c r="S37" t="s">
        <v>130</v>
      </c>
      <c r="T37" t="s">
        <v>40</v>
      </c>
      <c r="U37" t="s">
        <v>41</v>
      </c>
    </row>
    <row r="38" spans="1:21" x14ac:dyDescent="0.2">
      <c r="A38" t="s">
        <v>173</v>
      </c>
      <c r="B38" t="s">
        <v>55</v>
      </c>
      <c r="C38" t="s">
        <v>47</v>
      </c>
      <c r="D38" t="s">
        <v>174</v>
      </c>
      <c r="E38" t="s">
        <v>174</v>
      </c>
      <c r="F38" t="s">
        <v>195</v>
      </c>
      <c r="G38" t="s">
        <v>196</v>
      </c>
      <c r="H38">
        <v>224</v>
      </c>
      <c r="I38" t="s">
        <v>47</v>
      </c>
      <c r="J38">
        <v>93.7</v>
      </c>
      <c r="K38">
        <v>223</v>
      </c>
      <c r="L38">
        <v>340</v>
      </c>
      <c r="M38">
        <v>6.1000000000000003E-89</v>
      </c>
      <c r="N38" t="s">
        <v>27</v>
      </c>
      <c r="O38" t="s">
        <v>28</v>
      </c>
      <c r="P38" t="s">
        <v>51</v>
      </c>
      <c r="Q38" t="s">
        <v>119</v>
      </c>
      <c r="R38" t="s">
        <v>120</v>
      </c>
      <c r="S38" t="s">
        <v>121</v>
      </c>
      <c r="T38" t="s">
        <v>33</v>
      </c>
      <c r="U38" s="2" t="s">
        <v>54</v>
      </c>
    </row>
    <row r="39" spans="1:21" x14ac:dyDescent="0.2">
      <c r="A39" t="s">
        <v>173</v>
      </c>
      <c r="B39" t="s">
        <v>82</v>
      </c>
      <c r="C39" t="s">
        <v>47</v>
      </c>
      <c r="D39" t="s">
        <v>174</v>
      </c>
      <c r="E39" t="s">
        <v>174</v>
      </c>
      <c r="F39" t="s">
        <v>197</v>
      </c>
      <c r="G39" t="s">
        <v>198</v>
      </c>
      <c r="H39">
        <v>232</v>
      </c>
      <c r="I39" t="s">
        <v>47</v>
      </c>
      <c r="J39">
        <v>99.6</v>
      </c>
      <c r="K39">
        <v>223</v>
      </c>
      <c r="L39">
        <v>398</v>
      </c>
      <c r="M39">
        <v>2.7000000000000002E-106</v>
      </c>
      <c r="N39" t="s">
        <v>27</v>
      </c>
      <c r="O39" t="s">
        <v>28</v>
      </c>
      <c r="P39" t="s">
        <v>29</v>
      </c>
      <c r="Q39" t="s">
        <v>30</v>
      </c>
      <c r="R39" t="s">
        <v>31</v>
      </c>
      <c r="S39" t="s">
        <v>67</v>
      </c>
      <c r="T39" t="s">
        <v>33</v>
      </c>
      <c r="U39" t="s">
        <v>34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0CBA-2127-EF48-AC69-A96889B447E9}">
  <dimension ref="A1:L39"/>
  <sheetViews>
    <sheetView tabSelected="1" workbookViewId="0">
      <selection activeCell="O16" sqref="O16"/>
    </sheetView>
  </sheetViews>
  <sheetFormatPr baseColWidth="10" defaultRowHeight="16" x14ac:dyDescent="0.2"/>
  <cols>
    <col min="12" max="12" width="33.6640625" customWidth="1"/>
  </cols>
  <sheetData>
    <row r="1" spans="1:12" ht="3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18</v>
      </c>
      <c r="K1" s="4" t="s">
        <v>19</v>
      </c>
      <c r="L1" s="4" t="s">
        <v>20</v>
      </c>
    </row>
    <row r="2" spans="1:12" x14ac:dyDescent="0.2">
      <c r="A2" t="s">
        <v>21</v>
      </c>
      <c r="B2" t="s">
        <v>22</v>
      </c>
      <c r="C2" t="s">
        <v>23</v>
      </c>
      <c r="D2" s="1">
        <v>177</v>
      </c>
      <c r="E2" t="s">
        <v>25</v>
      </c>
      <c r="F2">
        <v>98.653000000000006</v>
      </c>
      <c r="G2">
        <v>297</v>
      </c>
      <c r="H2">
        <v>523</v>
      </c>
      <c r="I2" s="5">
        <v>7.6900000000000003E-144</v>
      </c>
      <c r="J2" t="s">
        <v>32</v>
      </c>
      <c r="K2" t="s">
        <v>33</v>
      </c>
      <c r="L2" t="s">
        <v>34</v>
      </c>
    </row>
    <row r="3" spans="1:12" x14ac:dyDescent="0.2">
      <c r="A3" t="s">
        <v>21</v>
      </c>
      <c r="B3" t="s">
        <v>22</v>
      </c>
      <c r="C3" t="s">
        <v>35</v>
      </c>
      <c r="D3" s="1">
        <v>346</v>
      </c>
      <c r="E3" t="s">
        <v>37</v>
      </c>
      <c r="F3">
        <v>97.472999999999999</v>
      </c>
      <c r="G3">
        <v>277</v>
      </c>
      <c r="H3">
        <v>472</v>
      </c>
      <c r="I3" s="5">
        <v>1.86E-128</v>
      </c>
      <c r="J3" t="s">
        <v>39</v>
      </c>
      <c r="K3" t="s">
        <v>40</v>
      </c>
      <c r="L3" t="s">
        <v>41</v>
      </c>
    </row>
    <row r="4" spans="1:12" x14ac:dyDescent="0.2">
      <c r="A4" t="s">
        <v>21</v>
      </c>
      <c r="B4" t="s">
        <v>22</v>
      </c>
      <c r="C4" t="s">
        <v>42</v>
      </c>
      <c r="D4" s="1">
        <v>228</v>
      </c>
      <c r="E4" t="s">
        <v>44</v>
      </c>
      <c r="F4">
        <v>95.769000000000005</v>
      </c>
      <c r="G4">
        <v>260</v>
      </c>
      <c r="H4">
        <v>420</v>
      </c>
      <c r="I4" s="5">
        <v>6.3800000000000004E-113</v>
      </c>
      <c r="J4" t="s">
        <v>39</v>
      </c>
      <c r="K4" t="s">
        <v>40</v>
      </c>
      <c r="L4" t="s">
        <v>46</v>
      </c>
    </row>
    <row r="5" spans="1:12" x14ac:dyDescent="0.2">
      <c r="A5" t="s">
        <v>21</v>
      </c>
      <c r="B5" t="s">
        <v>22</v>
      </c>
      <c r="C5" t="s">
        <v>47</v>
      </c>
      <c r="D5" s="1">
        <v>892</v>
      </c>
      <c r="E5" t="s">
        <v>49</v>
      </c>
      <c r="F5">
        <v>90.308000000000007</v>
      </c>
      <c r="G5">
        <v>227</v>
      </c>
      <c r="H5">
        <v>296</v>
      </c>
      <c r="I5" s="5">
        <v>9.5400000000000001E-76</v>
      </c>
      <c r="J5" t="s">
        <v>53</v>
      </c>
      <c r="K5" t="s">
        <v>33</v>
      </c>
      <c r="L5" s="2" t="s">
        <v>54</v>
      </c>
    </row>
    <row r="6" spans="1:12" x14ac:dyDescent="0.2">
      <c r="A6" t="s">
        <v>21</v>
      </c>
      <c r="B6" t="s">
        <v>55</v>
      </c>
      <c r="C6" t="s">
        <v>23</v>
      </c>
      <c r="D6" t="s">
        <v>56</v>
      </c>
      <c r="E6" t="s">
        <v>58</v>
      </c>
      <c r="F6">
        <v>99.331000000000003</v>
      </c>
      <c r="G6">
        <v>299</v>
      </c>
      <c r="H6">
        <v>542</v>
      </c>
      <c r="I6" s="6" t="s">
        <v>60</v>
      </c>
      <c r="J6" t="s">
        <v>61</v>
      </c>
      <c r="K6" t="s">
        <v>33</v>
      </c>
      <c r="L6" t="s">
        <v>34</v>
      </c>
    </row>
    <row r="7" spans="1:12" x14ac:dyDescent="0.2">
      <c r="A7" t="s">
        <v>21</v>
      </c>
      <c r="B7" t="s">
        <v>55</v>
      </c>
      <c r="C7" t="s">
        <v>35</v>
      </c>
      <c r="D7" t="s">
        <v>62</v>
      </c>
      <c r="E7" t="s">
        <v>64</v>
      </c>
      <c r="F7">
        <v>89.247</v>
      </c>
      <c r="G7">
        <v>279</v>
      </c>
      <c r="H7">
        <v>348</v>
      </c>
      <c r="I7" s="6" t="s">
        <v>66</v>
      </c>
      <c r="J7" t="s">
        <v>67</v>
      </c>
      <c r="K7" t="s">
        <v>33</v>
      </c>
      <c r="L7" t="s">
        <v>34</v>
      </c>
    </row>
    <row r="8" spans="1:12" x14ac:dyDescent="0.2">
      <c r="A8" t="s">
        <v>21</v>
      </c>
      <c r="B8" t="s">
        <v>55</v>
      </c>
      <c r="C8" t="s">
        <v>68</v>
      </c>
      <c r="D8" t="s">
        <v>69</v>
      </c>
      <c r="E8" t="s">
        <v>71</v>
      </c>
      <c r="F8">
        <v>89.930999999999997</v>
      </c>
      <c r="G8">
        <v>288</v>
      </c>
      <c r="H8">
        <v>372</v>
      </c>
      <c r="I8" s="6" t="s">
        <v>73</v>
      </c>
      <c r="J8" t="s">
        <v>74</v>
      </c>
      <c r="K8" t="s">
        <v>33</v>
      </c>
      <c r="L8" s="2" t="s">
        <v>54</v>
      </c>
    </row>
    <row r="9" spans="1:12" x14ac:dyDescent="0.2">
      <c r="A9" t="s">
        <v>21</v>
      </c>
      <c r="B9" t="s">
        <v>55</v>
      </c>
      <c r="C9" t="s">
        <v>47</v>
      </c>
      <c r="D9" t="s">
        <v>75</v>
      </c>
      <c r="E9" t="s">
        <v>77</v>
      </c>
      <c r="F9">
        <v>92.14</v>
      </c>
      <c r="G9">
        <v>229</v>
      </c>
      <c r="H9">
        <v>324</v>
      </c>
      <c r="I9" s="6" t="s">
        <v>79</v>
      </c>
      <c r="J9" t="s">
        <v>81</v>
      </c>
      <c r="K9" t="s">
        <v>33</v>
      </c>
      <c r="L9" s="2" t="s">
        <v>54</v>
      </c>
    </row>
    <row r="10" spans="1:12" x14ac:dyDescent="0.2">
      <c r="A10" t="s">
        <v>21</v>
      </c>
      <c r="B10" t="s">
        <v>82</v>
      </c>
      <c r="C10" t="s">
        <v>35</v>
      </c>
      <c r="D10" t="s">
        <v>83</v>
      </c>
      <c r="E10" t="s">
        <v>85</v>
      </c>
      <c r="F10">
        <v>100</v>
      </c>
      <c r="G10">
        <v>270</v>
      </c>
      <c r="H10">
        <v>499</v>
      </c>
      <c r="I10" s="6" t="s">
        <v>87</v>
      </c>
      <c r="J10" t="s">
        <v>67</v>
      </c>
      <c r="K10" t="s">
        <v>33</v>
      </c>
      <c r="L10" t="s">
        <v>34</v>
      </c>
    </row>
    <row r="11" spans="1:12" x14ac:dyDescent="0.2">
      <c r="A11" t="s">
        <v>21</v>
      </c>
      <c r="B11" t="s">
        <v>82</v>
      </c>
      <c r="C11" t="s">
        <v>68</v>
      </c>
      <c r="D11" t="s">
        <v>62</v>
      </c>
      <c r="E11" t="s">
        <v>89</v>
      </c>
      <c r="F11">
        <v>99.653000000000006</v>
      </c>
      <c r="G11">
        <v>288</v>
      </c>
      <c r="H11">
        <v>527</v>
      </c>
      <c r="I11" s="6" t="s">
        <v>91</v>
      </c>
      <c r="J11" t="s">
        <v>67</v>
      </c>
      <c r="K11" t="s">
        <v>33</v>
      </c>
      <c r="L11" t="s">
        <v>34</v>
      </c>
    </row>
    <row r="12" spans="1:12" x14ac:dyDescent="0.2">
      <c r="A12" t="s">
        <v>21</v>
      </c>
      <c r="B12" t="s">
        <v>82</v>
      </c>
      <c r="C12" t="s">
        <v>47</v>
      </c>
      <c r="D12" t="s">
        <v>92</v>
      </c>
      <c r="E12" t="s">
        <v>94</v>
      </c>
      <c r="F12">
        <v>99.566999999999993</v>
      </c>
      <c r="G12">
        <v>231</v>
      </c>
      <c r="H12">
        <v>420</v>
      </c>
      <c r="I12" s="6" t="s">
        <v>96</v>
      </c>
      <c r="J12" t="s">
        <v>67</v>
      </c>
      <c r="K12" t="s">
        <v>33</v>
      </c>
      <c r="L12" t="s">
        <v>34</v>
      </c>
    </row>
    <row r="13" spans="1:12" x14ac:dyDescent="0.2">
      <c r="A13" t="s">
        <v>21</v>
      </c>
      <c r="B13" t="s">
        <v>97</v>
      </c>
      <c r="C13" t="s">
        <v>23</v>
      </c>
      <c r="D13" t="s">
        <v>98</v>
      </c>
      <c r="E13" t="s">
        <v>100</v>
      </c>
      <c r="F13">
        <v>97.36</v>
      </c>
      <c r="G13">
        <v>303</v>
      </c>
      <c r="H13">
        <v>510</v>
      </c>
      <c r="I13" s="6" t="s">
        <v>102</v>
      </c>
      <c r="J13" t="s">
        <v>103</v>
      </c>
      <c r="K13" t="s">
        <v>33</v>
      </c>
      <c r="L13" t="s">
        <v>54</v>
      </c>
    </row>
    <row r="14" spans="1:12" x14ac:dyDescent="0.2">
      <c r="A14" t="s">
        <v>21</v>
      </c>
      <c r="B14" t="s">
        <v>97</v>
      </c>
      <c r="C14" t="s">
        <v>35</v>
      </c>
      <c r="D14" t="s">
        <v>104</v>
      </c>
      <c r="E14" t="s">
        <v>106</v>
      </c>
      <c r="F14">
        <v>98.929000000000002</v>
      </c>
      <c r="G14">
        <v>280</v>
      </c>
      <c r="H14">
        <v>501</v>
      </c>
      <c r="I14" s="6" t="s">
        <v>108</v>
      </c>
      <c r="J14" t="s">
        <v>109</v>
      </c>
      <c r="K14" t="s">
        <v>33</v>
      </c>
      <c r="L14" t="s">
        <v>34</v>
      </c>
    </row>
    <row r="15" spans="1:12" x14ac:dyDescent="0.2">
      <c r="A15" t="s">
        <v>21</v>
      </c>
      <c r="B15" t="s">
        <v>97</v>
      </c>
      <c r="C15" t="s">
        <v>47</v>
      </c>
      <c r="D15" t="s">
        <v>110</v>
      </c>
      <c r="E15" t="s">
        <v>112</v>
      </c>
      <c r="F15">
        <v>100</v>
      </c>
      <c r="G15">
        <v>226</v>
      </c>
      <c r="H15">
        <v>418</v>
      </c>
      <c r="I15" s="5">
        <v>0</v>
      </c>
      <c r="J15" t="s">
        <v>67</v>
      </c>
      <c r="K15" t="s">
        <v>33</v>
      </c>
      <c r="L15" t="s">
        <v>34</v>
      </c>
    </row>
    <row r="16" spans="1:12" x14ac:dyDescent="0.2">
      <c r="A16" t="s">
        <v>114</v>
      </c>
      <c r="B16" t="s">
        <v>55</v>
      </c>
      <c r="C16" t="s">
        <v>47</v>
      </c>
      <c r="D16" t="s">
        <v>115</v>
      </c>
      <c r="E16" t="s">
        <v>117</v>
      </c>
      <c r="F16">
        <v>92.3</v>
      </c>
      <c r="G16">
        <v>246</v>
      </c>
      <c r="H16">
        <v>350</v>
      </c>
      <c r="I16" s="5">
        <v>2.5999999999999998E-93</v>
      </c>
      <c r="J16" t="s">
        <v>121</v>
      </c>
      <c r="K16" t="s">
        <v>33</v>
      </c>
      <c r="L16" t="s">
        <v>54</v>
      </c>
    </row>
    <row r="17" spans="1:12" x14ac:dyDescent="0.2">
      <c r="A17" t="s">
        <v>114</v>
      </c>
      <c r="B17" t="s">
        <v>82</v>
      </c>
      <c r="C17" t="s">
        <v>47</v>
      </c>
      <c r="D17" t="s">
        <v>122</v>
      </c>
      <c r="E17" t="s">
        <v>124</v>
      </c>
      <c r="F17">
        <v>99.6</v>
      </c>
      <c r="G17">
        <v>246</v>
      </c>
      <c r="H17">
        <v>449</v>
      </c>
      <c r="I17" s="5">
        <v>2.5000000000000001E-123</v>
      </c>
      <c r="J17" t="s">
        <v>67</v>
      </c>
      <c r="K17" t="s">
        <v>33</v>
      </c>
      <c r="L17" t="s">
        <v>34</v>
      </c>
    </row>
    <row r="18" spans="1:12" x14ac:dyDescent="0.2">
      <c r="A18" t="s">
        <v>114</v>
      </c>
      <c r="B18" t="s">
        <v>22</v>
      </c>
      <c r="C18" t="s">
        <v>42</v>
      </c>
      <c r="D18" t="s">
        <v>126</v>
      </c>
      <c r="E18" t="s">
        <v>128</v>
      </c>
      <c r="F18">
        <v>99.3</v>
      </c>
      <c r="G18">
        <v>276</v>
      </c>
      <c r="H18">
        <v>499</v>
      </c>
      <c r="I18" s="5">
        <v>2.8E-138</v>
      </c>
      <c r="J18" t="s">
        <v>130</v>
      </c>
      <c r="K18" t="s">
        <v>40</v>
      </c>
      <c r="L18" t="s">
        <v>41</v>
      </c>
    </row>
    <row r="19" spans="1:12" x14ac:dyDescent="0.2">
      <c r="A19" t="s">
        <v>114</v>
      </c>
      <c r="B19" t="s">
        <v>55</v>
      </c>
      <c r="C19" t="s">
        <v>42</v>
      </c>
      <c r="D19" t="s">
        <v>131</v>
      </c>
      <c r="E19" t="s">
        <v>133</v>
      </c>
      <c r="F19">
        <v>98.9</v>
      </c>
      <c r="G19">
        <v>275</v>
      </c>
      <c r="H19">
        <v>492</v>
      </c>
      <c r="I19" s="5">
        <v>4.7000000000000002E-136</v>
      </c>
      <c r="J19" t="s">
        <v>135</v>
      </c>
      <c r="K19" t="s">
        <v>33</v>
      </c>
      <c r="L19" s="2" t="s">
        <v>54</v>
      </c>
    </row>
    <row r="20" spans="1:12" x14ac:dyDescent="0.2">
      <c r="A20" t="s">
        <v>114</v>
      </c>
      <c r="B20" t="s">
        <v>82</v>
      </c>
      <c r="C20" t="s">
        <v>42</v>
      </c>
      <c r="D20" t="s">
        <v>136</v>
      </c>
      <c r="E20" t="s">
        <v>138</v>
      </c>
      <c r="F20">
        <v>100</v>
      </c>
      <c r="G20">
        <v>275</v>
      </c>
      <c r="H20">
        <v>508</v>
      </c>
      <c r="I20" s="5">
        <v>4.6999999999999998E-141</v>
      </c>
      <c r="J20" t="s">
        <v>67</v>
      </c>
      <c r="K20" t="s">
        <v>33</v>
      </c>
      <c r="L20" t="s">
        <v>34</v>
      </c>
    </row>
    <row r="21" spans="1:12" x14ac:dyDescent="0.2">
      <c r="A21" t="s">
        <v>114</v>
      </c>
      <c r="B21" t="s">
        <v>97</v>
      </c>
      <c r="C21" t="s">
        <v>42</v>
      </c>
      <c r="D21" t="s">
        <v>140</v>
      </c>
      <c r="E21" t="s">
        <v>142</v>
      </c>
      <c r="F21">
        <v>100</v>
      </c>
      <c r="G21">
        <v>275</v>
      </c>
      <c r="H21">
        <v>508</v>
      </c>
      <c r="I21" s="5">
        <v>4.6999999999999998E-141</v>
      </c>
      <c r="J21" t="s">
        <v>103</v>
      </c>
      <c r="K21" t="s">
        <v>33</v>
      </c>
      <c r="L21" t="s">
        <v>34</v>
      </c>
    </row>
    <row r="22" spans="1:12" x14ac:dyDescent="0.2">
      <c r="A22" t="s">
        <v>114</v>
      </c>
      <c r="B22" t="s">
        <v>82</v>
      </c>
      <c r="C22" t="s">
        <v>35</v>
      </c>
      <c r="D22" t="s">
        <v>144</v>
      </c>
      <c r="E22" t="s">
        <v>146</v>
      </c>
      <c r="F22">
        <v>99.6</v>
      </c>
      <c r="G22">
        <v>269</v>
      </c>
      <c r="H22">
        <v>492</v>
      </c>
      <c r="I22" s="5">
        <v>4.9E-136</v>
      </c>
      <c r="J22" t="s">
        <v>67</v>
      </c>
      <c r="K22" t="s">
        <v>33</v>
      </c>
      <c r="L22" t="s">
        <v>34</v>
      </c>
    </row>
    <row r="23" spans="1:12" x14ac:dyDescent="0.2">
      <c r="A23" t="s">
        <v>114</v>
      </c>
      <c r="B23" t="s">
        <v>97</v>
      </c>
      <c r="C23" t="s">
        <v>35</v>
      </c>
      <c r="D23" t="s">
        <v>148</v>
      </c>
      <c r="E23" t="s">
        <v>150</v>
      </c>
      <c r="F23">
        <v>98.9</v>
      </c>
      <c r="G23">
        <v>280</v>
      </c>
      <c r="H23">
        <v>501</v>
      </c>
      <c r="I23" s="5">
        <v>7.9000000000000002E-139</v>
      </c>
      <c r="J23" t="s">
        <v>109</v>
      </c>
      <c r="K23" t="s">
        <v>33</v>
      </c>
      <c r="L23" t="s">
        <v>34</v>
      </c>
    </row>
    <row r="24" spans="1:12" x14ac:dyDescent="0.2">
      <c r="A24" t="s">
        <v>114</v>
      </c>
      <c r="B24" t="s">
        <v>22</v>
      </c>
      <c r="C24" t="s">
        <v>23</v>
      </c>
      <c r="D24" t="s">
        <v>152</v>
      </c>
      <c r="E24" t="s">
        <v>154</v>
      </c>
      <c r="F24">
        <v>100</v>
      </c>
      <c r="G24">
        <v>303</v>
      </c>
      <c r="H24">
        <v>560</v>
      </c>
      <c r="I24" s="5">
        <v>1.4000000000000001E-156</v>
      </c>
      <c r="J24" t="s">
        <v>159</v>
      </c>
      <c r="K24" t="s">
        <v>40</v>
      </c>
      <c r="L24" t="s">
        <v>41</v>
      </c>
    </row>
    <row r="25" spans="1:12" x14ac:dyDescent="0.2">
      <c r="A25" t="s">
        <v>114</v>
      </c>
      <c r="B25" t="s">
        <v>55</v>
      </c>
      <c r="C25" t="s">
        <v>23</v>
      </c>
      <c r="D25" t="s">
        <v>160</v>
      </c>
      <c r="E25" t="s">
        <v>162</v>
      </c>
      <c r="F25">
        <v>99.3</v>
      </c>
      <c r="G25">
        <v>297</v>
      </c>
      <c r="H25">
        <v>538</v>
      </c>
      <c r="I25" s="5">
        <v>6.3999999999999996E-150</v>
      </c>
      <c r="J25" t="s">
        <v>61</v>
      </c>
      <c r="K25" t="s">
        <v>33</v>
      </c>
      <c r="L25" t="s">
        <v>34</v>
      </c>
    </row>
    <row r="26" spans="1:12" x14ac:dyDescent="0.2">
      <c r="A26" t="s">
        <v>114</v>
      </c>
      <c r="B26" t="s">
        <v>82</v>
      </c>
      <c r="C26" t="s">
        <v>23</v>
      </c>
      <c r="D26" t="s">
        <v>164</v>
      </c>
      <c r="E26" t="s">
        <v>166</v>
      </c>
      <c r="F26">
        <v>89</v>
      </c>
      <c r="G26">
        <v>199</v>
      </c>
      <c r="H26">
        <v>237</v>
      </c>
      <c r="I26" s="5">
        <v>2.0000000000000001E-59</v>
      </c>
      <c r="J26" t="s">
        <v>168</v>
      </c>
      <c r="K26" t="s">
        <v>33</v>
      </c>
      <c r="L26" t="s">
        <v>54</v>
      </c>
    </row>
    <row r="27" spans="1:12" x14ac:dyDescent="0.2">
      <c r="A27" t="s">
        <v>114</v>
      </c>
      <c r="B27" t="s">
        <v>97</v>
      </c>
      <c r="C27" t="s">
        <v>23</v>
      </c>
      <c r="D27" t="s">
        <v>169</v>
      </c>
      <c r="E27" t="s">
        <v>171</v>
      </c>
      <c r="F27">
        <v>97</v>
      </c>
      <c r="G27">
        <v>305</v>
      </c>
      <c r="H27">
        <v>507</v>
      </c>
      <c r="I27" s="5">
        <v>1.9E-140</v>
      </c>
      <c r="J27" t="s">
        <v>67</v>
      </c>
      <c r="K27" t="s">
        <v>33</v>
      </c>
      <c r="L27" t="s">
        <v>34</v>
      </c>
    </row>
    <row r="28" spans="1:12" x14ac:dyDescent="0.2">
      <c r="A28" t="s">
        <v>173</v>
      </c>
      <c r="B28" t="s">
        <v>55</v>
      </c>
      <c r="C28" t="s">
        <v>23</v>
      </c>
      <c r="D28" t="s">
        <v>174</v>
      </c>
      <c r="E28" t="s">
        <v>175</v>
      </c>
      <c r="F28">
        <v>99</v>
      </c>
      <c r="G28">
        <v>295</v>
      </c>
      <c r="H28">
        <v>516</v>
      </c>
      <c r="I28" s="5">
        <v>1.8000000000000001E-141</v>
      </c>
      <c r="J28" t="s">
        <v>61</v>
      </c>
      <c r="K28" t="s">
        <v>33</v>
      </c>
      <c r="L28" t="s">
        <v>34</v>
      </c>
    </row>
    <row r="29" spans="1:12" x14ac:dyDescent="0.2">
      <c r="A29" t="s">
        <v>173</v>
      </c>
      <c r="B29" t="s">
        <v>82</v>
      </c>
      <c r="C29" t="s">
        <v>23</v>
      </c>
      <c r="D29" t="s">
        <v>174</v>
      </c>
      <c r="E29" t="s">
        <v>177</v>
      </c>
      <c r="F29">
        <v>77</v>
      </c>
      <c r="G29">
        <v>305</v>
      </c>
      <c r="H29">
        <v>233</v>
      </c>
      <c r="I29" s="5">
        <v>2.7999999999999999E-56</v>
      </c>
      <c r="J29" t="s">
        <v>67</v>
      </c>
      <c r="K29" t="s">
        <v>33</v>
      </c>
      <c r="L29" t="s">
        <v>34</v>
      </c>
    </row>
    <row r="30" spans="1:12" x14ac:dyDescent="0.2">
      <c r="A30" t="s">
        <v>173</v>
      </c>
      <c r="B30" t="s">
        <v>97</v>
      </c>
      <c r="C30" t="s">
        <v>23</v>
      </c>
      <c r="D30" t="s">
        <v>174</v>
      </c>
      <c r="E30" t="s">
        <v>179</v>
      </c>
      <c r="F30">
        <v>96</v>
      </c>
      <c r="G30">
        <v>300</v>
      </c>
      <c r="H30">
        <v>479</v>
      </c>
      <c r="I30" s="5">
        <v>1.3E-130</v>
      </c>
      <c r="J30" t="s">
        <v>109</v>
      </c>
      <c r="K30" t="s">
        <v>33</v>
      </c>
      <c r="L30" t="s">
        <v>34</v>
      </c>
    </row>
    <row r="31" spans="1:12" x14ac:dyDescent="0.2">
      <c r="A31" t="s">
        <v>173</v>
      </c>
      <c r="B31" t="s">
        <v>22</v>
      </c>
      <c r="C31" t="s">
        <v>42</v>
      </c>
      <c r="D31" t="s">
        <v>174</v>
      </c>
      <c r="E31" t="s">
        <v>181</v>
      </c>
      <c r="F31">
        <v>99.2</v>
      </c>
      <c r="G31">
        <v>262</v>
      </c>
      <c r="H31">
        <v>464</v>
      </c>
      <c r="I31" s="5">
        <v>2.5E-126</v>
      </c>
      <c r="J31" t="s">
        <v>130</v>
      </c>
      <c r="K31" t="s">
        <v>40</v>
      </c>
      <c r="L31" t="s">
        <v>41</v>
      </c>
    </row>
    <row r="32" spans="1:12" x14ac:dyDescent="0.2">
      <c r="A32" t="s">
        <v>173</v>
      </c>
      <c r="B32" t="s">
        <v>55</v>
      </c>
      <c r="C32" t="s">
        <v>42</v>
      </c>
      <c r="D32" t="s">
        <v>174</v>
      </c>
      <c r="E32" t="s">
        <v>183</v>
      </c>
      <c r="F32">
        <v>98.5</v>
      </c>
      <c r="G32">
        <v>263</v>
      </c>
      <c r="H32">
        <v>450</v>
      </c>
      <c r="I32" s="5">
        <v>5.7000000000000001E-122</v>
      </c>
      <c r="J32" t="s">
        <v>135</v>
      </c>
      <c r="K32" t="s">
        <v>33</v>
      </c>
      <c r="L32" s="2" t="s">
        <v>54</v>
      </c>
    </row>
    <row r="33" spans="1:12" x14ac:dyDescent="0.2">
      <c r="A33" t="s">
        <v>173</v>
      </c>
      <c r="B33" t="s">
        <v>82</v>
      </c>
      <c r="C33" t="s">
        <v>42</v>
      </c>
      <c r="D33" t="s">
        <v>174</v>
      </c>
      <c r="E33" t="s">
        <v>185</v>
      </c>
      <c r="F33">
        <v>99.3</v>
      </c>
      <c r="G33">
        <v>267</v>
      </c>
      <c r="H33">
        <v>473</v>
      </c>
      <c r="I33" s="5">
        <v>5.0000000000000003E-129</v>
      </c>
      <c r="J33" t="s">
        <v>67</v>
      </c>
      <c r="K33" t="s">
        <v>33</v>
      </c>
      <c r="L33" t="s">
        <v>34</v>
      </c>
    </row>
    <row r="34" spans="1:12" x14ac:dyDescent="0.2">
      <c r="A34" t="s">
        <v>173</v>
      </c>
      <c r="B34" t="s">
        <v>55</v>
      </c>
      <c r="C34" t="s">
        <v>35</v>
      </c>
      <c r="D34" t="s">
        <v>174</v>
      </c>
      <c r="E34" t="s">
        <v>187</v>
      </c>
      <c r="F34">
        <v>88.5</v>
      </c>
      <c r="G34">
        <v>288</v>
      </c>
      <c r="H34">
        <v>357</v>
      </c>
      <c r="I34" s="5">
        <v>1.1E-93</v>
      </c>
      <c r="J34" t="s">
        <v>67</v>
      </c>
      <c r="K34" t="s">
        <v>33</v>
      </c>
      <c r="L34" t="s">
        <v>34</v>
      </c>
    </row>
    <row r="35" spans="1:12" x14ac:dyDescent="0.2">
      <c r="A35" t="s">
        <v>173</v>
      </c>
      <c r="B35" t="s">
        <v>82</v>
      </c>
      <c r="C35" t="s">
        <v>35</v>
      </c>
      <c r="D35" t="s">
        <v>174</v>
      </c>
      <c r="E35" t="s">
        <v>189</v>
      </c>
      <c r="F35">
        <v>98.5</v>
      </c>
      <c r="G35">
        <v>273</v>
      </c>
      <c r="H35">
        <v>472</v>
      </c>
      <c r="I35" s="5">
        <v>1.9000000000000001E-128</v>
      </c>
      <c r="J35" t="s">
        <v>67</v>
      </c>
      <c r="K35" t="s">
        <v>33</v>
      </c>
      <c r="L35" t="s">
        <v>34</v>
      </c>
    </row>
    <row r="36" spans="1:12" x14ac:dyDescent="0.2">
      <c r="A36" t="s">
        <v>173</v>
      </c>
      <c r="B36" t="s">
        <v>97</v>
      </c>
      <c r="C36" t="s">
        <v>35</v>
      </c>
      <c r="D36" t="s">
        <v>174</v>
      </c>
      <c r="E36" t="s">
        <v>191</v>
      </c>
      <c r="F36">
        <v>97.8</v>
      </c>
      <c r="G36">
        <v>277</v>
      </c>
      <c r="H36">
        <v>473</v>
      </c>
      <c r="I36" s="5">
        <v>5.4E-129</v>
      </c>
      <c r="J36" t="s">
        <v>67</v>
      </c>
      <c r="K36" t="s">
        <v>33</v>
      </c>
      <c r="L36" t="s">
        <v>34</v>
      </c>
    </row>
    <row r="37" spans="1:12" x14ac:dyDescent="0.2">
      <c r="A37" t="s">
        <v>173</v>
      </c>
      <c r="B37" t="s">
        <v>22</v>
      </c>
      <c r="C37" t="s">
        <v>47</v>
      </c>
      <c r="D37" t="s">
        <v>174</v>
      </c>
      <c r="E37" t="s">
        <v>193</v>
      </c>
      <c r="F37">
        <v>98.7</v>
      </c>
      <c r="G37">
        <v>232</v>
      </c>
      <c r="H37">
        <v>403</v>
      </c>
      <c r="I37" s="5">
        <v>6.2999999999999997E-108</v>
      </c>
      <c r="J37" t="s">
        <v>130</v>
      </c>
      <c r="K37" t="s">
        <v>40</v>
      </c>
      <c r="L37" t="s">
        <v>41</v>
      </c>
    </row>
    <row r="38" spans="1:12" x14ac:dyDescent="0.2">
      <c r="A38" t="s">
        <v>173</v>
      </c>
      <c r="B38" t="s">
        <v>55</v>
      </c>
      <c r="C38" t="s">
        <v>47</v>
      </c>
      <c r="D38" t="s">
        <v>174</v>
      </c>
      <c r="E38" t="s">
        <v>195</v>
      </c>
      <c r="F38">
        <v>93.7</v>
      </c>
      <c r="G38">
        <v>223</v>
      </c>
      <c r="H38">
        <v>340</v>
      </c>
      <c r="I38" s="5">
        <v>6.1000000000000003E-89</v>
      </c>
      <c r="J38" t="s">
        <v>121</v>
      </c>
      <c r="K38" t="s">
        <v>33</v>
      </c>
      <c r="L38" s="2" t="s">
        <v>54</v>
      </c>
    </row>
    <row r="39" spans="1:12" x14ac:dyDescent="0.2">
      <c r="A39" t="s">
        <v>173</v>
      </c>
      <c r="B39" t="s">
        <v>82</v>
      </c>
      <c r="C39" t="s">
        <v>47</v>
      </c>
      <c r="D39" t="s">
        <v>174</v>
      </c>
      <c r="E39" t="s">
        <v>197</v>
      </c>
      <c r="F39">
        <v>99.6</v>
      </c>
      <c r="G39">
        <v>223</v>
      </c>
      <c r="H39">
        <v>398</v>
      </c>
      <c r="I39" s="5">
        <v>2.7000000000000002E-106</v>
      </c>
      <c r="J39" t="s">
        <v>67</v>
      </c>
      <c r="K39" t="s">
        <v>33</v>
      </c>
      <c r="L39" t="s">
        <v>34</v>
      </c>
    </row>
  </sheetData>
  <pageMargins left="0.7" right="0.7" top="0.75" bottom="0.75" header="0.3" footer="0.3"/>
  <pageSetup paperSize="9" orientation="portrait" horizontalDpi="0" verticalDpi="0"/>
  <ignoredErrors>
    <ignoredError sqref="D2:D39 I6 I7:I1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JYEAABQSwMEFAAACAgAXLRUXPKqmuymAAAA9gAAABIAAABDb25maWcvUGFja2FnZS54bWyFj0ELgjAcxb+K7O42J4HInFCHLglBEF3HXDrSv+Fm87t16CP1FTLK6tbxvfd78N79euP52DbBRffWdJChCFMUaFBdaaDK0OCOYYJywbdSnWSlgwkGm47WZKh27pwS4r3HPsZdXxFGaUQOxWanat3K0IB1EpRGn1b5v4UE37/GCIajRYRjlmDKyWzywsAXYNPeZ/pj8tXQuKHXQkO4XnIyS07eH8QDUEsDBBQAAAgIAFy0VFyedLDI4gEAANMDAAATAAAARm9ybXVsYXMvU2VjdGlvbjEubXVSwW7aQBC9I+UfVu4FJAcHKU0URT2AgQaJNFSGU1VZi3fAq65nndldVCvqv3cMSdPK9GL7vTf75s14HRReWxTZ6T26v+hd9FwpCZQYG5M7eM6V9FJ8EgZ8T4jMBiqAYeoOw6ktQgXo+3NtYJha9AxcP0o2Dsgl5Mz17V2y1FuS1CSpsUFl3pLcQ/KEMCV9gMsN8pOc9o3dpbYGLFnGZKZskKTylXVe2SJ/gErXHkgmE2017mzyGIzXXAp5XTbG8leT/B15WLhDNIjFtykYXWk+y6mjOIpFak2o0DEc3cVihoVVGvcMbz5eXY1i8TVYD5lvTDvnOxh+sQjfBzFv4UO0IluxoEQJUnH+iEvXcstVr8rDie+fFsYxXnmOmBXSSGr7ewp/HNNS4p4Ni2M64Zsa3k3XJNHtLFWn7GsWXf9Mili8vEQrI31by6h1ER5++l+sRJmsagMd+lHSD6AO7UJdW/I5sbfresHzYtphV+2vyM8IXB4Ai25zFnIDyPwC/c31sB3tKMxtQJWfsuWT5Thbd7tpxRfujcZQbYGOwtjoPS4B977sGk8W66ywBF1ldpAmwBm/dqzQ3WdqpOtu5onUmW3OZaVN06E/A4Yzy62h0PAvz0IEeLnJokFP43+vzP1vUEsDBBQAAAgIAFy0VFwPyumrpAAAAOkAAAATAAAAW0NvbnRlbnRfVHlwZXNdLnhtbG2OSw7CMAxErxJ5n7qwQAg1ZQHcgAtEwf2I5qPGReFsLDgSVyBtd4ilZ+Z55vN6V8dkB/GgMfbeKdgUJQhyxt961yqYuJF7ONbV9Rkoihx1UUHHHA6I0XRkdSx8IJedxo9Wcz7HFoM2d90Sbstyh8Y7JseS5x9QV2dq9DSwuKQsr7UZB3Fac3OVAqbEuMj4l7A/eR3C0BvN2cQkbZR2IXEZXn8BUEsBAhQDFAAACAgAXLRUXPKqmuymAAAA9gAAABIAAAAAAAAAAAAAAKSBAAAAAENvbmZpZy9QYWNrYWdlLnhtbFBLAQIUAxQAAAgIAFy0VFyedLDI4gEAANMDAAATAAAAAAAAAAAAAACkgdYAAABGb3JtdWxhcy9TZWN0aW9uMS5tUEsBAhQDFAAACAgAXLRUXA/K6aukAAAA6QAAABMAAAAAAAAAAAAAAKSB6QIAAFtDb250ZW50X1R5cGVzXS54bWxQSwUGAAAAAAMAAwDCAAAAvgMAAAAAEAEAAO+7vzw/eG1sIHZlcnNpb249IjEuMCIgZW5jb2Rpbmc9InV0Zi04Ij8+PFBlcm1pc3Npb25MaXN0IHhtbG5zOnhzaT0iaHR0cDovL3d3dy53My5vcmcvMjAwMS9YTUxTY2hlbWEtaW5zdGFuY2UiIHhtbG5zOnhzZD0iaHR0cDovL3d3dy53My5vcmcvMjAwMS9YTUxTY2hlbWEiPjxDYW5FdmFsdWF0ZUZ1dHVyZVBhY2thZ2VzPmZhbHNlPC9DYW5FdmFsdWF0ZUZ1dHVyZVBhY2thZ2VzPjxGaXJld2FsbEVuYWJsZWQ+dHJ1ZTwvRmlyZXdhbGxFbmFibGVkPjwvUGVybWlzc2lvbkxpc3Q+JhQAAAAAAAAEFAAA77u/PD94bWwgdmVyc2lvbj0iMS4wIiBlbmNvZGluZz0idXRmLTgiPz48TG9jYWxQYWNrYWdlTWV0YWRhdGFGaWxlIHhtbG5zOnhzaT0iaHR0cDovL3d3dy53My5vcmcvMjAwMS9YTUxTY2hlbWEtaW5zdGFuY2UiIHhtbG5zOnhzZD0iaHR0cDovL3d3dy53My5vcmcvMjAwMS9YTUxTY2hlbWEiPjxJdGVtcz48SXRlbT48SXRlbUxvY2F0aW9uPjxJdGVtVHlwZT5BbGxGb3JtdWxhczwvSXRlbVR5cGU+PEl0ZW1QYXRoIC8+PC9JdGVtTG9jYXRpb24+PFN0YWJsZUVudHJpZXM+PEVudHJ5IFR5cGU9IklzVHlwZURldGVjdGlvbkVuYWJsZWQiIFZhbHVlPSJzVHJ1ZSIgLz48L1N0YWJsZUVudHJpZXM+PC9JdGVtPjxJdGVtPjxJdGVtTG9jYXRpb24+PEl0ZW1UeXBlPkZvcm11bGE8L0l0ZW1UeXBlPjxJdGVtUGF0aD5TZWN0aW9uMS9BbGxfc2VxX2RhdGE8L0l0ZW1QYXRoPjwvSXRlbUxvY2F0aW9uPjxTdGFibGVFbnRyaWVzPjxFbnRyeSBUeXBlPSJJc1ByaXZhdGUiIFZhbHVlPSJsMCIgLz48RW50cnkgVHlwZT0iTG9hZFRvUmVwb3J0RGlzYWJsZWQiIFZhbHVlPSJsMCIgLz48RW50cnkgVHlwZT0iRmlsbEVuYWJsZWQiIFZhbHVlPSJsMSIgLz48RW50cnkgVHlwZT0iRmlsbE9iamVjdFR5cGUiIFZhbHVlPSJzVGFibGUiIC8+PEVudHJ5IFR5cGU9IkZpbGxUb0RhdGFNb2RlbEVuYWJsZWQiIFZhbHVlPSJsMCIgLz48RW50cnkgVHlwZT0iUXVlcnlJRCIgVmFsdWU9InNmMTI5YTViNS03ZGJmLTQyODQtYTI1OS04ZTliOWE4NmJhOGEiIC8+PEVudHJ5IFR5cGU9IkJ1ZmZlck5leHRSZWZyZXNoIiBWYWx1ZT0ibDEiIC8+PEVudHJ5IFR5cGU9IlJlc3VsdFR5cGUiIFZhbHVlPSJzVGFibGUiIC8+PEVudHJ5IFR5cGU9Ik5hbWVVcGRhdGVkQWZ0ZXJGaWxsIiBWYWx1ZT0ibDAiIC8+PEVudHJ5IFR5cGU9IkZpbGxUYXJnZXQiIFZhbHVlPSJzQWxsX3NlcV9kYXRhIiAvPjxFbnRyeSBUeXBlPSJGaWxsZWRDb21wbGV0ZVJlc3VsdFRvV29ya3NoZWV0IiBWYWx1ZT0ibDEiIC8+PEVudHJ5IFR5cGU9IkFkZGVkVG9EYXRhTW9kZWwiIFZhbHVlPSJsMCIgLz48RW50cnkgVHlwZT0iRmlsbENvdW50IiBWYWx1ZT0ibDM4IiAvPjxFbnRyeSBUeXBlPSJGaWxsRXJyb3JDb2RlIiBWYWx1ZT0ic1Vua25vd24iIC8+PEVudHJ5IFR5cGU9IkZpbGxFcnJvckNvdW50IiBWYWx1ZT0ibDAiIC8+PEVudHJ5IFR5cGU9IkZpbGxMYXN0VXBkYXRlZCIgVmFsdWU9ImQyMDI2LTAyLTIxVDAxOjM0OjU3LjQyMTIzNDBaIiAvPjxFbnRyeSBUeXBlPSJGaWxsQ29sdW1uVHlwZXMiIFZhbHVlPSJzQmdZR0JnWUdCZ01HQlFNREJRWUdCZ1lHQmc9PSIgLz48RW50cnkgVHlwZT0iRmlsbENvbHVtbk5hbWVzIiBWYWx1ZT0ic1smcXVvdDtQbGF0Zm9ybSZxdW90OywmcXVvdDtTYW1wbGUmcXVvdDssJnF1b3Q7TWFya2VyJnF1b3Q7LCZxdW90O3N1cHBvcnRfcmVhZHMmcXVvdDssJnF1b3Q7U2VxSUQmcXVvdDssJnF1b3Q7UGh5bG9fSUQmcXVvdDssJnF1b3Q7U2VxdWVuY2UmcXVvdDssJnF1b3Q7U2VxX2xlbiZxdW90OywmcXVvdDtGb3VuZF9NYXJrZXJfQkxBU1QmcXVvdDssJnF1b3Q7UGlkZW50JnF1b3Q7LCZxdW90O0FsaWduTGVuZ3RoJnF1b3Q7LCZxdW90O0JJVFNjb3JlJnF1b3Q7LCZxdW90O0V2YWx1ZSZxdW90OywmcXVvdDtQaHlsdW0mcXVvdDssJnF1b3Q7Q2xhc3MmcXVvdDssJnF1b3Q7T3JkZXImcXVvdDssJnF1b3Q7RmFtaWx5JnF1b3Q7LCZxdW90O0dlbnVzJnF1b3Q7LCZxdW90O1NwZWNpZXMmcXVvdDtdIiAvPjxFbnRyeSBUeXBlPSJGaWxsU3RhdHVzIiBWYWx1ZT0ic0NvbXBsZXRlIiAvPjxFbnRyeSBUeXBlPSJSZWxhdGlvbnNoaXBJbmZvQ29udGFpbmVyIiBWYWx1ZT0ic3smcXVvdDtjb2x1bW5Db3VudCZxdW90OzoxOSwmcXVvdDtrZXlDb2x1bW5OYW1lcyZxdW90OzpbXSwmcXVvdDtxdWVyeVJlbGF0aW9uc2hpcHMmcXVvdDs6W10sJnF1b3Q7Y29sdW1uSWRlbnRpdGllcyZxdW90OzpbJnF1b3Q7U2VjdGlvbjEvQWxsX3NlcV9kYXRhL0F1dG9SZW1vdmVkQ29sdW1uczEue1BsYXRmb3JtLDB9JnF1b3Q7LCZxdW90O1NlY3Rpb24xL0FsbF9zZXFfZGF0YS9BdXRvUmVtb3ZlZENvbHVtbnMxLntTYW1wbGUsMX0mcXVvdDssJnF1b3Q7U2VjdGlvbjEvQWxsX3NlcV9kYXRhL0F1dG9SZW1vdmVkQ29sdW1uczEue01hcmtlciwyfSZxdW90OywmcXVvdDtTZWN0aW9uMS9BbGxfc2VxX2RhdGEvQXV0b1JlbW92ZWRDb2x1bW5zMS57c3VwcG9ydF9yZWFkcywzfSZxdW90OywmcXVvdDtTZWN0aW9uMS9BbGxfc2VxX2RhdGEvQXV0b1JlbW92ZWRDb2x1bW5zMS57U2VxSUQsNH0mcXVvdDssJnF1b3Q7U2VjdGlvbjEvQWxsX3NlcV9kYXRhL0F1dG9SZW1vdmVkQ29sdW1uczEue1BoeWxvX0lELDV9JnF1b3Q7LCZxdW90O1NlY3Rpb24xL0FsbF9zZXFfZGF0YS9BdXRvUmVtb3ZlZENvbHVtbnMxLntTZXF1ZW5jZSw2fSZxdW90OywmcXVvdDtTZWN0aW9uMS9BbGxfc2VxX2RhdGEvQXV0b1JlbW92ZWRDb2x1bW5zMS57U2VxX2xlbiw3fSZxdW90OywmcXVvdDtTZWN0aW9uMS9BbGxfc2VxX2RhdGEvQXV0b1JlbW92ZWRDb2x1bW5zMS57Rm91bmRfTWFya2VyX0JMQVNULDh9JnF1b3Q7LCZxdW90O1NlY3Rpb24xL0FsbF9zZXFfZGF0YS9BdXRvUmVtb3ZlZENvbHVtbnMxLntQaWRlbnQsOX0mcXVvdDssJnF1b3Q7U2VjdGlvbjEvQWxsX3NlcV9kYXRhL0F1dG9SZW1vdmVkQ29sdW1uczEue0FsaWduTGVuZ3RoLDEwfSZxdW90OywmcXVvdDtTZWN0aW9uMS9BbGxfc2VxX2RhdGEvQXV0b1JlbW92ZWRDb2x1bW5zMS57QklUU2NvcmUsMTF9JnF1b3Q7LCZxdW90O1NlY3Rpb24xL0FsbF9zZXFfZGF0YS9BdXRvUmVtb3ZlZENvbHVtbnMxLntFdmFsdWUsMTJ9JnF1b3Q7LCZxdW90O1NlY3Rpb24xL0FsbF9zZXFfZGF0YS9BdXRvUmVtb3ZlZENvbHVtbnMxLntQaHlsdW0sMTN9JnF1b3Q7LCZxdW90O1NlY3Rpb24xL0FsbF9zZXFfZGF0YS9BdXRvUmVtb3ZlZENvbHVtbnMxLntDbGFzcywxNH0mcXVvdDssJnF1b3Q7U2VjdGlvbjEvQWxsX3NlcV9kYXRhL0F1dG9SZW1vdmVkQ29sdW1uczEue09yZGVyLDE1fSZxdW90OywmcXVvdDtTZWN0aW9uMS9BbGxfc2VxX2RhdGEvQXV0b1JlbW92ZWRDb2x1bW5zMS57RmFtaWx5LDE2fSZxdW90OywmcXVvdDtTZWN0aW9uMS9BbGxfc2VxX2RhdGEvQXV0b1JlbW92ZWRDb2x1bW5zMS57R2VudXMsMTd9JnF1b3Q7LCZxdW90O1NlY3Rpb24xL0FsbF9zZXFfZGF0YS9BdXRvUmVtb3ZlZENvbHVtbnMxLntTcGVjaWVzLDE4fSZxdW90O10sJnF1b3Q7Q29sdW1uQ291bnQmcXVvdDs6MTksJnF1b3Q7S2V5Q29sdW1uTmFtZXMmcXVvdDs6W10sJnF1b3Q7Q29sdW1uSWRlbnRpdGllcyZxdW90OzpbJnF1b3Q7U2VjdGlvbjEvQWxsX3NlcV9kYXRhL0F1dG9SZW1vdmVkQ29sdW1uczEue1BsYXRmb3JtLDB9JnF1b3Q7LCZxdW90O1NlY3Rpb24xL0FsbF9zZXFfZGF0YS9BdXRvUmVtb3ZlZENvbHVtbnMxLntTYW1wbGUsMX0mcXVvdDssJnF1b3Q7U2VjdGlvbjEvQWxsX3NlcV9kYXRhL0F1dG9SZW1vdmVkQ29sdW1uczEue01hcmtlciwyfSZxdW90OywmcXVvdDtTZWN0aW9uMS9BbGxfc2VxX2RhdGEvQXV0b1JlbW92ZWRDb2x1bW5zMS57c3VwcG9ydF9yZWFkcywzfSZxdW90OywmcXVvdDtTZWN0aW9uMS9BbGxfc2VxX2RhdGEvQXV0b1JlbW92ZWRDb2x1bW5zMS57U2VxSUQsNH0mcXVvdDssJnF1b3Q7U2VjdGlvbjEvQWxsX3NlcV9kYXRhL0F1dG9SZW1vdmVkQ29sdW1uczEue1BoeWxvX0lELDV9JnF1b3Q7LCZxdW90O1NlY3Rpb24xL0FsbF9zZXFfZGF0YS9BdXRvUmVtb3ZlZENvbHVtbnMxLntTZXF1ZW5jZSw2fSZxdW90OywmcXVvdDtTZWN0aW9uMS9BbGxfc2VxX2RhdGEvQXV0b1JlbW92ZWRDb2x1bW5zMS57U2VxX2xlbiw3fSZxdW90OywmcXVvdDtTZWN0aW9uMS9BbGxfc2VxX2RhdGEvQXV0b1JlbW92ZWRDb2x1bW5zMS57Rm91bmRfTWFya2VyX0JMQVNULDh9JnF1b3Q7LCZxdW90O1NlY3Rpb24xL0FsbF9zZXFfZGF0YS9BdXRvUmVtb3ZlZENvbHVtbnMxLntQaWRlbnQsOX0mcXVvdDssJnF1b3Q7U2VjdGlvbjEvQWxsX3NlcV9kYXRhL0F1dG9SZW1vdmVkQ29sdW1uczEue0FsaWduTGVuZ3RoLDEwfSZxdW90OywmcXVvdDtTZWN0aW9uMS9BbGxfc2VxX2RhdGEvQXV0b1JlbW92ZWRDb2x1bW5zMS57QklUU2NvcmUsMTF9JnF1b3Q7LCZxdW90O1NlY3Rpb24xL0FsbF9zZXFfZGF0YS9BdXRvUmVtb3ZlZENvbHVtbnMxLntFdmFsdWUsMTJ9JnF1b3Q7LCZxdW90O1NlY3Rpb24xL0FsbF9zZXFfZGF0YS9BdXRvUmVtb3ZlZENvbHVtbnMxLntQaHlsdW0sMTN9JnF1b3Q7LCZxdW90O1NlY3Rpb24xL0FsbF9zZXFfZGF0YS9BdXRvUmVtb3ZlZENvbHVtbnMxLntDbGFzcywxNH0mcXVvdDssJnF1b3Q7U2VjdGlvbjEvQWxsX3NlcV9kYXRhL0F1dG9SZW1vdmVkQ29sdW1uczEue09yZGVyLDE1fSZxdW90OywmcXVvdDtTZWN0aW9uMS9BbGxfc2VxX2RhdGEvQXV0b1JlbW92ZWRDb2x1bW5zMS57RmFtaWx5LDE2fSZxdW90OywmcXVvdDtTZWN0aW9uMS9BbGxfc2VxX2RhdGEvQXV0b1JlbW92ZWRDb2x1bW5zMS57R2VudXMsMTd9JnF1b3Q7LCZxdW90O1NlY3Rpb24xL0FsbF9zZXFfZGF0YS9BdXRvUmVtb3ZlZENvbHVtbnMxLntTcGVjaWVzLDE4fSZxdW90O10sJnF1b3Q7UmVsYXRpb25zaGlwSW5mbyZxdW90OzpbXX0iIC8+PC9TdGFibGVFbnRyaWVzPjwvSXRlbT48SXRlbT48SXRlbUxvY2F0aW9uPjxJdGVtVHlwZT5Gb3JtdWxhPC9JdGVtVHlwZT48SXRlbVBhdGg+U2VjdGlvbjEvQWxsX3NlcV9kYXRhL1NvdXJjZTwvSXRlbVBhdGg+PC9JdGVtTG9jYXRpb24+PFN0YWJsZUVudHJpZXMgLz48L0l0ZW0+PEl0ZW0+PEl0ZW1Mb2NhdGlvbj48SXRlbVR5cGU+Rm9ybXVsYTwvSXRlbVR5cGU+PEl0ZW1QYXRoPlNlY3Rpb24xL0FsbF9zZXFfZGF0YS9Qcm9tb3RlZCUyMGhlYWRlcnM8L0l0ZW1QYXRoPjwvSXRlbUxvY2F0aW9uPjxTdGFibGVFbnRyaWVzIC8+PC9JdGVtPjxJdGVtPjxJdGVtTG9jYXRpb24+PEl0ZW1UeXBlPkZvcm11bGE8L0l0ZW1UeXBlPjxJdGVtUGF0aD5TZWN0aW9uMS9BbGxfc2VxX2RhdGEvQ2hhbmdlZCUyMGNvbHVtbiUyMHR5cGU8L0l0ZW1QYXRoPjwvSXRlbUxvY2F0aW9uPjxTdGFibGVFbnRyaWVzIC8+PC9JdGVtPjwvSXRlbXM+PC9Mb2NhbFBhY2thZ2VNZXRhZGF0YUZpbGU+FgAAAFBLBQYAAAAAAAAAAAAAAAAAAAAAAABkAAAAaRtSFoWeKYYAHKxPiC3Vl3vJEMJCeaGfocpR0zTfKJJLM7G0lxWdrBhHgvrgjVhqpTPueZJCQsUEu0eTnf44TP+eHBoQ0EJg0xGpi9BVBJiEuqsEs30Wr9btdnNsOo6HpMYBZg==</DataMashup>
</file>

<file path=customXml/itemProps1.xml><?xml version="1.0" encoding="utf-8"?>
<ds:datastoreItem xmlns:ds="http://schemas.openxmlformats.org/officeDocument/2006/customXml" ds:itemID="{4EDD9ECD-E721-5F4A-9E58-7DF722BF97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387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All_seq_data</vt:lpstr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Edouard Jean-Luc Lucien Bessette</dc:creator>
  <dc:description/>
  <cp:lastModifiedBy>Edouard Jean-Luc Lucien Bessette</cp:lastModifiedBy>
  <cp:revision>5</cp:revision>
  <dcterms:created xsi:type="dcterms:W3CDTF">2026-02-21T01:31:36Z</dcterms:created>
  <dcterms:modified xsi:type="dcterms:W3CDTF">2026-09-25T06:20:35Z</dcterms:modified>
  <dc:language>en-US</dc:language>
</cp:coreProperties>
</file>