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nnections.xml" ContentType="application/vnd.openxmlformats-officedocument.spreadsheetml.connection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_seq_data" sheetId="1" state="visible" r:id="rId3"/>
  </sheets>
  <definedNames>
    <definedName function="false" hidden="true" localSheetId="0" name="ExternalData_1" vbProcedure="false">All_seq_data!$A$1:$U$39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A6450C8-2304-414D-81EC-E054095F828A}" keepAlive="1" interval="0" name="Query - All_seq_data" description="Connection to the 'All_seq_data' query in the workbook." type="5" reconnectionMethod="1" refreshedVersion="8" minRefreshableVersion="0" savePassword="0" new="0" deleted="0" onlyUseConnectionFile="0" background="1" refreshOnLoad="0" saveData="1">
    <dbPr connection="Provider=Microsoft.Mashup.OleDb.1;Data Source=$Workbook$;Location=All_seq_data;Extended Properties=&quot;&quot;" command="SELECT * FROM [All_seq_data]"/>
  </connection>
</connections>
</file>

<file path=xl/sharedStrings.xml><?xml version="1.0" encoding="utf-8"?>
<sst xmlns="http://schemas.openxmlformats.org/spreadsheetml/2006/main" count="610" uniqueCount="199">
  <si>
    <t xml:space="preserve">Platform</t>
  </si>
  <si>
    <t xml:space="preserve">Sample</t>
  </si>
  <si>
    <t xml:space="preserve">Marker</t>
  </si>
  <si>
    <t xml:space="preserve">support_reads</t>
  </si>
  <si>
    <t xml:space="preserve">SeqID</t>
  </si>
  <si>
    <t xml:space="preserve">Phylo_ID</t>
  </si>
  <si>
    <t xml:space="preserve">Sequence</t>
  </si>
  <si>
    <t xml:space="preserve">Seq_len</t>
  </si>
  <si>
    <t xml:space="preserve">Found_Marker_BLAST</t>
  </si>
  <si>
    <t xml:space="preserve">Pident</t>
  </si>
  <si>
    <t xml:space="preserve">AlignLength</t>
  </si>
  <si>
    <t xml:space="preserve">BITScore</t>
  </si>
  <si>
    <t xml:space="preserve">Evalue</t>
  </si>
  <si>
    <t xml:space="preserve">Phylum</t>
  </si>
  <si>
    <t xml:space="preserve">Class</t>
  </si>
  <si>
    <t xml:space="preserve">Order</t>
  </si>
  <si>
    <t xml:space="preserve">Family</t>
  </si>
  <si>
    <t xml:space="preserve">Genus</t>
  </si>
  <si>
    <t xml:space="preserve">Species</t>
  </si>
  <si>
    <t xml:space="preserve">kept_discarded</t>
  </si>
  <si>
    <t xml:space="preserve">reason</t>
  </si>
  <si>
    <t xml:space="preserve">ONT</t>
  </si>
  <si>
    <t xml:space="preserve">203_A</t>
  </si>
  <si>
    <t xml:space="preserve">ITS</t>
  </si>
  <si>
    <t xml:space="preserve">203_A|ITS2_350bp_U001_U001|consensus_cl_id_18_total_supporting_reads_177</t>
  </si>
  <si>
    <t xml:space="preserve">ONT_203_A_ITS</t>
  </si>
  <si>
    <t xml:space="preserve">TAAATGCAAGAGACTGGCAGCCGAGTAGACAGCCATGAATTTTGCCCGCTTCTTCTTGCACACGGCCATCCTGTTAAACAGATGGGCATCGATGAAGAACGCAGCTAAATGCGATAAGTAATGCGAATCGCAGATTTCAGTGAGTCATCGAGTTTTTGAACGCATATTGCGCCTGCTGGTTATTCCAGCAGGCATGCCTGTTCGAGCGTTATTACAGCACTAGACGTTTTGTCTCTGTTGGAGATTGGCTAGCGGCCAGCTCTTAAATATAGCAGCAGCAGCTTTTTGCTCTTTTACTGCTATGTATAGTAGAAACGATACAGCGCAGAGAAGCAACTAGACCGCTATAAACACCCCTAAGTTTAACCTCGAATCAGGTAGGGATACCCGCTGAACTTAACTTAA</t>
  </si>
  <si>
    <t xml:space="preserve">Ascomycota</t>
  </si>
  <si>
    <t xml:space="preserve">Sordariomycetes</t>
  </si>
  <si>
    <t xml:space="preserve">Hypocreales</t>
  </si>
  <si>
    <t xml:space="preserve">Ophiocordycipitaceae</t>
  </si>
  <si>
    <t xml:space="preserve">Ophiocordyceps</t>
  </si>
  <si>
    <t xml:space="preserve">Ophiocordyceps cf. nutans</t>
  </si>
  <si>
    <t xml:space="preserve">kept</t>
  </si>
  <si>
    <t xml:space="preserve">Blast to target, placement nutans clade</t>
  </si>
  <si>
    <t xml:space="preserve">LSU</t>
  </si>
  <si>
    <t xml:space="preserve">203_A|LSU_308bp_U001_U001|consensus_cl_id_2641_total_supporting_reads_346</t>
  </si>
  <si>
    <t xml:space="preserve">ONT_203_A_LSU</t>
  </si>
  <si>
    <t xml:space="preserve">AAAGATGAAAAGCACTTTGAAAAGAGAGTTAAACAGTATGTGAAATTGTTGAAAGGGAAGCGCTTGCAACCAGACTTGCGCGCGACGGTTCCCCCTTCCCTTCTGGTTGGGTTACTCCGTCGTGTCCAGGCCAACATCGGTTCTGGGGGTCGGTTAAAGGCTCAGGGAATGTATCTACCCTCCGGGCGTAGACTTATAGCCCCGGCGTCATGCGACCTCCCGGGACCGAGGAACGCGCTTCGGCTCGGATGTTGGCGTAATGGTTGTCAGCGACCCCG</t>
  </si>
  <si>
    <t xml:space="preserve">uncultured fungus</t>
  </si>
  <si>
    <t xml:space="preserve">discarded</t>
  </si>
  <si>
    <t xml:space="preserve">Blast off target, wrong placement</t>
  </si>
  <si>
    <t xml:space="preserve">SSU</t>
  </si>
  <si>
    <t xml:space="preserve">203_A|SSU_305bp_U001_U001|consensus_cl_id_37182_total_supporting_reads_228</t>
  </si>
  <si>
    <t xml:space="preserve">ONT_203_A_SSU</t>
  </si>
  <si>
    <t xml:space="preserve">TAAAAAAGCTCCAACTTCAGGAAGGAGTGTATTTATTAGATAAAAAACCAATGCAGGCAACTGCTTCACTTGGTGAATCATAATAACTGATCGAATTGTATGGCTTCACGCCGACAATGGTTCATTCAAATTTCTGCCCTATCAACTTTCGATGGTAGGATAGTGGCCTACCATGGTGACAACGGGTAACGGGGAATTAGGGTTTGATTCCGGAGAGGGAGCCTGAGAAACGGCTCCCGGACCTACGGGTTACAGCAGGCGC</t>
  </si>
  <si>
    <t xml:space="preserve">Blast off target, branch length</t>
  </si>
  <si>
    <t xml:space="preserve">TEF</t>
  </si>
  <si>
    <t xml:space="preserve">203_A|TEF_268bp_U001_U001|consensus_cl_id_43518_total_supporting_reads_892</t>
  </si>
  <si>
    <t xml:space="preserve">ONT_203_A_TEF</t>
  </si>
  <si>
    <t xml:space="preserve">AAGACCAAGGGTGGTAAGACTACTGGCAAGACGCTTCTCGAAGCTATCGATGCCATCGAGCCGCCGAAGCGTCCCACCGACAAGCCCCTCCGACTTCCCCTCCAAGACGTCTACAAGATTGGTGGTATCGGCACTGTCCCCGTCGGCCGTATCGAGACTGGTATTCTTAAGCCCGGCATGGTCGTCACTTTTGCTCCTTCCAACGTCACTACTGAAGTCAAGTCCGTT</t>
  </si>
  <si>
    <t xml:space="preserve">Sordariales</t>
  </si>
  <si>
    <t xml:space="preserve">Madurella</t>
  </si>
  <si>
    <t xml:space="preserve">Madurella pseudomycetomatis (nom. inval.)</t>
  </si>
  <si>
    <t xml:space="preserve">Placement nutans clade</t>
  </si>
  <si>
    <t xml:space="preserve">204_B</t>
  </si>
  <si>
    <t xml:space="preserve">265</t>
  </si>
  <si>
    <t xml:space="preserve">204_B|ITS2_350bp_U001_U002|consensus_cl_id_6_total_supporting_reads_265</t>
  </si>
  <si>
    <t xml:space="preserve">ONT_204_B_ITS</t>
  </si>
  <si>
    <t xml:space="preserve">AAGGCTAAATGCGATAAGTAATGCGAATTGCAGATTTCAGTGAGTCATCGAGTTTTTGAACGCATATTGCGCCTGCTGGCTATTCCAGCAGGCATGCCTGTTCGAGCGTTATTACAACATTAGACGTCTGTCTTTGTTAGAGATTGGCTAGCGGCCACCTCTGAAATACAGCAGCAGCTATCTGCCCTAGCTCCCTTGTGTAGTAAAAATAAGCCACGCATTGCGGAAGAAAGGCATCTTAACTGCTATAGACTTTTTAATAGTTTAACCTCGAATCAGGTAGGGATACCCGCTGAACTTAAA</t>
  </si>
  <si>
    <t xml:space="preserve">3.28e-91</t>
  </si>
  <si>
    <t xml:space="preserve">Ophiocordyceps neonutans</t>
  </si>
  <si>
    <t xml:space="preserve">998</t>
  </si>
  <si>
    <t xml:space="preserve">204_B|LSU_308bp_U001_U002|consensus_cl_id_1_total_supporting_reads_998</t>
  </si>
  <si>
    <t xml:space="preserve">ONT_204_B_LSU</t>
  </si>
  <si>
    <t xml:space="preserve">TAAAGATGAAAAGCACTTTGGAAAGAGGGTTAAATAGCATGTGAAATTGTTAAAAGGGAAGCGCTTACAACTAGACGTGGGCGTGTCCGATCAACTAGTGATTTCTACTAGGGCATTCAGACACTATCCAGGCTAGCATCGGTTCGCTACAGGGGATAAAGGCGTTAGGAATGTAGCCCTCCTCTCGGAGGGTGTTATAGCCTAGCGTGTAATACCCTGTATGCGGACCGAGGTCTGCGCTTTAATGCAAGGATGCTGGCGTAATGGTTGTTAGTGACT</t>
  </si>
  <si>
    <t xml:space="preserve">2.08e-98</t>
  </si>
  <si>
    <t xml:space="preserve">Ophiocordyceps nutans</t>
  </si>
  <si>
    <t xml:space="preserve">RPB1</t>
  </si>
  <si>
    <t xml:space="preserve">488</t>
  </si>
  <si>
    <t xml:space="preserve">204_B|RPB1_320bp_U001_U002|consensus_cl_id_0_total_supporting_reads_488</t>
  </si>
  <si>
    <t xml:space="preserve">ONT_204_B_RPB1</t>
  </si>
  <si>
    <t xml:space="preserve">CGGAGATGTGAGAACGAGGACCGTCAGAGCAAGGATAAAGACGAGGACTTCATGCCGGGAATGAAGCAGCTGCAGACCGTCGATAACCACGGCGGCTGCGGTAACGTTCAACCCGCTGTGCGGCAGCTTGCCCTGCAACTCAAGGCTGCCTTTGATGTGCCTCAGGAAGACGGCCCCAAACGAAGAGACACGGTGCCAATCACGCCAGAAATGGCCCACAACATTCTGCGGCGCATCTCAGAAGAAGACCTGTGCAACATGGGCCTCAACGTTGACTATGCTCGTCCGCCCTGTTC</t>
  </si>
  <si>
    <t xml:space="preserve">4.51e-84</t>
  </si>
  <si>
    <t xml:space="preserve">Ophiocordyceps forquignonii</t>
  </si>
  <si>
    <t xml:space="preserve">979</t>
  </si>
  <si>
    <t xml:space="preserve">204_B|TEF_268bp_U001_U002|consensus_cl_id_0_total_supporting_reads_979</t>
  </si>
  <si>
    <t xml:space="preserve">ONT_204_B_TEF</t>
  </si>
  <si>
    <t xml:space="preserve">ATAAGACCAAGGGTGGTAAGACTACTGGCAAGACGCTTCTCGAAGCTATCGACGCCATCGAGCCGCCGAAGCGTCCCACCGACAAGCCCCTCCGTCTTCCCCTCCAGGACGTCTACAAGATTGGTGGTATCGGTACTGTCCCCGTCGGCCGTATCGAGACTGGTGTTCTCAAGCCCGGCATGGTCGTCACCTTTGCTCCTTCCAACGTCACTACTGAAGTCAAGTCCGTCGAAA</t>
  </si>
  <si>
    <t xml:space="preserve">8.43e-137</t>
  </si>
  <si>
    <t xml:space="preserve">Rhodoveronaea</t>
  </si>
  <si>
    <t xml:space="preserve">Rhodoveronaea varioseptata</t>
  </si>
  <si>
    <t xml:space="preserve">205_A</t>
  </si>
  <si>
    <t xml:space="preserve">990</t>
  </si>
  <si>
    <t xml:space="preserve">205_A|LSU_308bp_U001_U003|consensus_cl_id_4_total_supporting_reads_990</t>
  </si>
  <si>
    <t xml:space="preserve">ONT_205_A_LSU</t>
  </si>
  <si>
    <t xml:space="preserve">AAAAAAGATGAAAAGCACTTTGAAAAGAGGGTTAAACAGTACGTGAAATTGCTAAAAGGGAAGCACTTGCAACTAGACGTAGCGCGTGCCAATCACCTGGCATTTGTGTCAGGGCACTTGGGGCGATGCTAGGCCAGCATCGGTTTGCTGTGGGGGATAAAGACATCTGGAACGTAGCCCTTTGGGTGTTATAGCCAGGTGTGCAATGCCCTGCGGCAGACCGAGGACCTTGCGCATCTGCAAAGATGCTGGCGTAATAGTTGCTAGTGACCCCC</t>
  </si>
  <si>
    <t xml:space="preserve">4.11e-145</t>
  </si>
  <si>
    <t xml:space="preserve">205_A|RPB1_320bp_U001_U003|consensus_cl_id_4_total_supporting_reads_998</t>
  </si>
  <si>
    <t xml:space="preserve">ONT_205_A_RPB1</t>
  </si>
  <si>
    <t xml:space="preserve">GGCGGAGGTGCGAAAATGAGGATCGCCAGGGCAAGGACAAGGACGAAGATTTTATGCCAGGAATCAAACTGCAAACTGTCGATAACCACGGCGGTTGTGGCAACGTGCAGCCTGCTGTACGTCAACTTGCCTTGCAACTCAAGGCTGCCTTCGACGTGCCTCAGGAAGACGGTCCCAAGCGTAGAGACACGGTCCCAATCACTCCCGAAATGGCTCTCAACATTCTGCGGCGTATCTCGGAGGAAGACTTGCGCAACATGGGTCTCAACGTCGACTATGCTCGGCCCGAA</t>
  </si>
  <si>
    <t xml:space="preserve">5.74e-113</t>
  </si>
  <si>
    <t xml:space="preserve">976</t>
  </si>
  <si>
    <t xml:space="preserve">205_A|TEF_268bp_U001_U003|consensus_cl_id_12_total_supporting_reads_976</t>
  </si>
  <si>
    <t xml:space="preserve">ONT_205_A_TEF</t>
  </si>
  <si>
    <t xml:space="preserve">AAGAGAGACCAAGGGTGGCAAACTCACTGGCAAGACGCTTCTTGAGGCCATCGACGCCATCGAGCCCCCCAAGCGTCCCACTGATAAGCCCCTACGCCTTCCCCTCCAGGATGTCTACAAGATTGGAGGTATCGGCACTGTACCTGTCGGTCGTATTGAGACTGGTGTCATCAAGCCCGGCATGGTCGTTACCTTTGCTCCCTCTAATGTCACTACTGAAGTCAAGTCCGTTCCGTTGT</t>
  </si>
  <si>
    <t xml:space="preserve">4.39e-140</t>
  </si>
  <si>
    <t xml:space="preserve">206_A</t>
  </si>
  <si>
    <t xml:space="preserve">999</t>
  </si>
  <si>
    <t xml:space="preserve">206_A|ITS2_350bp_U001_U004|consensus_cl_id_1_total_supporting_reads_999</t>
  </si>
  <si>
    <t xml:space="preserve">ONT_206_A_ITS</t>
  </si>
  <si>
    <t xml:space="preserve">GAGGAAATGCGATAAGTAATGCGAATTGCAGAATCTAGTGAGTCATCGAATCTTTGAACGCATATTGCGCCTACTAGCTATTCTAGTAGGCATGCCTATTTGAGCGTCATTTAAAGCATTTATACCTTGTATAGTGTTGGAGAATAGCGAATAAACGACGCTATCTCTAAAATAAAGAAGCAAGCAATTCCACTTCTCTTCTTGTAGAGTAAAAAGCTACAAATGCAAGAAGTTAAAGAAGAAGGAAAGCTTTAAAAAACCTATAAGTTGACCTCAAATTAGGTAGGAATACCCGCTGAACTTAAA</t>
  </si>
  <si>
    <t xml:space="preserve">2.50e-137</t>
  </si>
  <si>
    <t xml:space="preserve">Ophiocordyceps sp.</t>
  </si>
  <si>
    <t xml:space="preserve">1000</t>
  </si>
  <si>
    <t xml:space="preserve">206_A|LSU_308bp_U001_U004|consensus_cl_id_0_total_supporting_reads_1000</t>
  </si>
  <si>
    <t xml:space="preserve">ONT_206_A_LSU</t>
  </si>
  <si>
    <t xml:space="preserve">AAAAGATGAAAAGATGAAAAGCACTTTGAAAAGAGGGTTAAACAGTACGTGAAATTGCTAAAAGGGAAGCACTTGCAACTAGACGTAGATATTTCTATTCACTTAGTGTTTTTCACTAAGGTATTTAGGAGTAATCTAGGCTAGCATCGGTTTACTGTAAAGGATAAAGACATTTGGAACGTAGCCCTCTTAGGGGGGTGTTATAGCCAGGTGTGCAATGCTTTACTTGTAGACCGAGGTGTTAATGCGCATTTATGCAAAGATGCTGGCGTAATAGTTGCTAGTGACCTG</t>
  </si>
  <si>
    <t xml:space="preserve">1.96e-112</t>
  </si>
  <si>
    <t xml:space="preserve">Ophiocordyceps pseudonutans</t>
  </si>
  <si>
    <t xml:space="preserve">16</t>
  </si>
  <si>
    <t xml:space="preserve">206_A|TEF_268bp_U001_U004|consensus_cl_id_0_total_supporting_reads_16</t>
  </si>
  <si>
    <t xml:space="preserve">ONT_206_A_TEF</t>
  </si>
  <si>
    <t xml:space="preserve">AAAGACCAAGGGTGGCAAGCTCACTGGCAAGACGCTCCTTGAGGCCATCGACGCCATTGAGCCCCCTAAGCGTCCCACGGATAAGCCCCTACGCCTCCCCCTCCAGGATGTCTACAAGATTGGCGGTATCGGCACCGTACCTGTTGGTCGTATTGAGACTGGTGTTATCAAGCCCGGCATGGTCGTTACCTTTGCTCCCTCTAATGTCACTACTGAAGTCAAGTCCGTT</t>
  </si>
  <si>
    <t xml:space="preserve">Illumina</t>
  </si>
  <si>
    <t xml:space="preserve">2191</t>
  </si>
  <si>
    <t xml:space="preserve">204_B|Uniq1;size=2191</t>
  </si>
  <si>
    <t xml:space="preserve">Illumina_204_B_TEF</t>
  </si>
  <si>
    <t xml:space="preserve">AGACCAAGGGTGGTAAGACTACTGGCAAGACGCTTCTCGAAGCTATCGACGCCATCGAGCCGCCGAAGCGTCCCACCGACAAGCCCCTCCGTCTTCCCCTCCAGGACGTCTACAAGATTGGTGGTATCGGTACTGTCCCCGTCGGCCGTATCGAGACTGGTGTTCTCAAGCCCGGCATGGTCGTCACCTTTGCTCCTTCCAACGTCACTACTGAAGTCAAGTCCGTCGAGATGCACCACGAGCAGCGA</t>
  </si>
  <si>
    <t xml:space="preserve">Chaetomiaceae</t>
  </si>
  <si>
    <t xml:space="preserve">Arxotrichum</t>
  </si>
  <si>
    <t xml:space="preserve">Arxotrichum wyomingense</t>
  </si>
  <si>
    <t xml:space="preserve">5300</t>
  </si>
  <si>
    <t xml:space="preserve">205_A|Uniq1;size=5300</t>
  </si>
  <si>
    <t xml:space="preserve">Illumina_205_A_TEF</t>
  </si>
  <si>
    <t xml:space="preserve">AGACCAAGGGTGGCAAACTCACTGGCAAGACGCTTCTTGAGGCCATCGACGCCATCGAGCCCCCCAAGCGTCCCACTGATAAGCCCCTACGCCTTCCCCTCCAGGATGTCTACAAGATTGGAGGTATCGGCACTGTACCTGTCGGTCGTATTGAGACTGGTGTCATCAAGCCCGGCATGGTCGTTACCTTTGCTCCCTCTAATGTCACTACTGAAGTCAAGTCCGTCGAGATGCACCACGAGCAGCGA</t>
  </si>
  <si>
    <t xml:space="preserve">16600</t>
  </si>
  <si>
    <t xml:space="preserve">203_A|Uniq1;size=16600</t>
  </si>
  <si>
    <t xml:space="preserve">Illumina_203_A_SSU</t>
  </si>
  <si>
    <t xml:space="preserve">TAAAAACCCCGACTCCGGGAGGGGTGTATTTATTAGATTAAAAGCCAATGCCCCCTGGGCTCTCTGGTGATTCATGATAACTCCTCGAATCGCATGGCCTTGCGCCGGCGATGGTTCATTCAAATTTCTTCCCTATCAACTTTCGATGTTTGGGTAGTGGCCAAACATGGTTGCAACGGGTAACGGAGGGTTAGGGCTCGACCCCGGAGAAGGAGCCTGAGAAACGGCTACTACATCCAAGGAAGGCAGCAGGCGCGCAAATTACCCAATCCCGACCG</t>
  </si>
  <si>
    <t xml:space="preserve">Ophiocordyceps melolonthae</t>
  </si>
  <si>
    <t xml:space="preserve">9510</t>
  </si>
  <si>
    <t xml:space="preserve">204_B|Uniq1;size=9510</t>
  </si>
  <si>
    <t xml:space="preserve">Illumina_204_B_SSU</t>
  </si>
  <si>
    <t xml:space="preserve">TAAAAGACCCGACTTCGGGAGGGTTGTATTTATTAGATTAAAAACCAATGCCCTCTGGGCTCACTGGTGATTCATGATAACTTCGCGAATCGCATGGCCTTGCGCCGGCGATGGCTCATTCAAATTTCTTCCCTATCAACTTTCGATGTTTGGGTAGTGGCCAAACATGGTTGCAACGGGTAACGGAGGGTTAGGGCTCGACCCCGGAGAAGGAGCCTGAGAAACGGCTACTACATCCAAGGAAGGCAGCAGGCGCGCAAATTACCCAATCCCGACCG</t>
  </si>
  <si>
    <t xml:space="preserve">Ophiocordyceps oxycephala</t>
  </si>
  <si>
    <t xml:space="preserve">11451</t>
  </si>
  <si>
    <t xml:space="preserve">205_A|Uniq1;size=11451</t>
  </si>
  <si>
    <t xml:space="preserve">Illumina_205_A_SSU</t>
  </si>
  <si>
    <t xml:space="preserve">TAAAAGACCCGACTTTAGAAGGGTTGTATTTATTAGATTAAAAGCCAATGCCCTCTGGGCTCACTGGTGAATCATGATAACTTCGCGAATCGCATGGCCTTGTGCCGGCGATGGCTCATTCAAATTTCTTCCCTATCAACTTTCGATGTTTGGGTAGTGGCCAAACATGGTTGCAACGGGTAACGGAGGGTTAGGGCTCGACCCCGGAGAAGGAGCCTGAGAAACGGCTACTACATCCAAGGAAGGCAGCAGGCGCGCAAATTACCCAATCCCGACCG</t>
  </si>
  <si>
    <t xml:space="preserve">2823</t>
  </si>
  <si>
    <t xml:space="preserve">206_A|Uniq1;size=2823</t>
  </si>
  <si>
    <t xml:space="preserve">Illumina_206_A_SSU</t>
  </si>
  <si>
    <t xml:space="preserve">TAAAAGACCCGACTTTGGAAGGGTTGTATTTATTAGATTAAAAACCAATGCCCTCTGGGCTCACTGGTGAATCATGATAACTTCGCGAATCGCATGGCCTTGTGCCGGCGATGGCTCATTCAAATTTCTTCCCTATCAACTTTCGATGTTTGGGTAGTGGCCAAACATGGTTGCAACGGGTAACGGAGGGTTAGGGCTCGACCCCGGAGAAGGAGCCTGAGAAACGGCTACTACATCCAAGGAAGGCAGCAGGCGCGCAAATTACCCAATCCCGACCG</t>
  </si>
  <si>
    <t xml:space="preserve">40</t>
  </si>
  <si>
    <t xml:space="preserve">205_A|Uniq1;size=40</t>
  </si>
  <si>
    <t xml:space="preserve">Illumina_205_A_LSU</t>
  </si>
  <si>
    <t xml:space="preserve">GATGGTACAAGGGCTGGGAGAAGGATGAAAAGCACTTTGAAAAGAGGGTTAAACAGTACGTGAAATTGCTAAAAGGGAAGCACTTGCAACTAGACGTAGCGCGTGCCAATCACCTGGCATTTGTGTCAGGGCACTTGGGGCGATGCTAGGCCAGCATCGGTTTGCTGTGGGGGATAAAGACATCTGGAACGTAGCCCTTTGGGTGTTATAGCCAGGTGTGCAATGCCCTGCGGCAGACCGAGGACCTTGCGCATCTGCAAAGATGCTGGCGTAATAGTTGCTAGTGAC</t>
  </si>
  <si>
    <t xml:space="preserve">30</t>
  </si>
  <si>
    <t xml:space="preserve">206_A|Uniq1;size=30</t>
  </si>
  <si>
    <t xml:space="preserve">Illumina_206_A_LSU</t>
  </si>
  <si>
    <t xml:space="preserve">AAAGATGAAAAGCACTTTGAAAAGAGGGTTAAACAGTACGTGAAATTGCTAAAAGGGAAGCACTTGCAACTAGACGTAGATATTTCTATTCACTTAGTGTTTTTCACTAAGGTATTTAGGAGTAATCTAGGCTAGCATCGGTTTACTGTAAAGGATAAAGACATTTGGAACGTAGCCCTCTTAGGGGGGTGTTATAGCCAGGTGTGCAATGCTTTACTTGTAGACCGAGGTGTTAATGCGCATTTATGCAAAGATGCTGGCGTAATAGTTGCTAGTGACC</t>
  </si>
  <si>
    <t xml:space="preserve">2355</t>
  </si>
  <si>
    <t xml:space="preserve">203_A|Uniq1;size=2355</t>
  </si>
  <si>
    <t xml:space="preserve">Illumina_203_A_ITS</t>
  </si>
  <si>
    <t xml:space="preserve">GAAATGCGATAAGTAGTGTGAATTGCAGAATTCAGTGAATCATCGAATCTTTGAACGCACATTGCGCCCTATGGTATTCCATAGGGCATGCCTGTTCGAGCGTCATTTGTACCTTCAAGCTCTGCTTGGTGTTGGGTGTTTGTCCCGCCTTTGTGCGCGGACTCGCCTTAAAGCAATTGGCAGCCGACGTCTAGGTTTCGGAGCGCAGCACAAATCGCGCTCTGTGTCCTGGTACGGCGGCGTCCATCAAGACTATTTTACACTCTTGACCTCGGATCAGGTAGGGATACCCGCTGAACTTAA</t>
  </si>
  <si>
    <t xml:space="preserve">Dothideomycetes</t>
  </si>
  <si>
    <t xml:space="preserve">Pleosporales</t>
  </si>
  <si>
    <t xml:space="preserve">Didymellaceae</t>
  </si>
  <si>
    <t xml:space="preserve">uncultured Didymella</t>
  </si>
  <si>
    <t xml:space="preserve">16989</t>
  </si>
  <si>
    <t xml:space="preserve">204_B|Uniq1;size=16989</t>
  </si>
  <si>
    <t xml:space="preserve">Illumina_204_B_ITS</t>
  </si>
  <si>
    <t xml:space="preserve">TAAATGCGATAAGTAATGCGAATTGCAGATTTCAGTGAGTCATCGAGTTTTTGAACGCATATTGCGCCTGCTGGCTATTCCAGCAGGCATGCCTGTTCGAGCGTTATTACAACATTAGACGTCTGTCTTTGTTAGAGATTGGCTAGCGGCCACCTCTGAAATACAGCAGCAGCTATCTGCCCTAGCTCCCTTGTGTAGTAAAAATAAGCCACGCATTGCGGAAGAAAGGCATCTTAACTGCTATAGACTTTTTAATAGTTTAACCTCGAATCAGGTAGGGATACCCGCTGAACTTAA</t>
  </si>
  <si>
    <t xml:space="preserve">326</t>
  </si>
  <si>
    <t xml:space="preserve">205_A|Uniq1;size=326</t>
  </si>
  <si>
    <t xml:space="preserve">Illumina_205_A_ITS</t>
  </si>
  <si>
    <t xml:space="preserve">GTGCATCGATGAAGACGCAGCGAAATGCGATAAGTAATGCGAATTGCAGAATTAAGTGAGTCATCGAATCTTTGAACGCATATTGCGCCTACTGGCTATTCTAGTAGGCATGCCTATTTGAGCGTCATTTCAGCACTTATACGTGGTATACTGTTGGAGACTAGCATATGCTATCTCTTAAATGCATATAAGCAGGCTTCCCTTGCAGAGTAAAAACAATGCACCGGGAGTGCCGTCGTTATGTTGACCTCAAATTAGGTAGGAATACCCGCTGAACTTAA</t>
  </si>
  <si>
    <t xml:space="preserve">Ophiocordyceps asiana</t>
  </si>
  <si>
    <t xml:space="preserve">1380</t>
  </si>
  <si>
    <t xml:space="preserve">206_A|Uniq1;size=1380</t>
  </si>
  <si>
    <t xml:space="preserve">Illumina_206_A_ITS</t>
  </si>
  <si>
    <t xml:space="preserve">GAAATGCGATAAGTAATGCGAATTGCAGAATCTAGTGAGTCATCGAATCTTTGAACGCATATTGCGCCTACTAGCTATTCTAGTAGGCATGCCTATTTGAGCGTCATTTAAAGCATTTATACCTTGTATAGTGTTGGAGAATAGCGAATAAACGACGCTATCTCTAAAATAAAGAAGCAAGCAATTCCACTTCTCTTCTTGTAGAGTAAAAAGCTACAAATGCAAGAAGTTAAAGAAGAAGGAAAGCTTTAAAAAACCTATAAGTTGACCTCAAATTAGGTAGGAATACCCGCTGAACTTAA</t>
  </si>
  <si>
    <t xml:space="preserve">Sanger</t>
  </si>
  <si>
    <t xml:space="preserve">NA</t>
  </si>
  <si>
    <t xml:space="preserve">Sanger_204_B_ITS</t>
  </si>
  <si>
    <t xml:space="preserve">GCAGATTTCAGTGAGTCATCGAGTTTTTGAACGCATATTGCGCCTGCTGGCTATTCCAGCAGGCATGCCTGTTCGAGCGTTATTACAACATTAGACGTCTGTCTTTGTTAGAGATTGGCTAGCGGCCACCTCTGAAATACAGCAGCAGCTATCTGCCCTAGCTCCCTTGTGTAGTAAAAATAAGCCACGCATTGCGGAAGAAAGGCATCTTAACTGCTATAGACTTTTTAATAGTTTAACCTCGAATCAGGTAGGGATACCCGCTGAACTTAAGCATATCAATAAGCGGAGGAAAAA</t>
  </si>
  <si>
    <t xml:space="preserve">Sanger_205_A_ITS</t>
  </si>
  <si>
    <t xml:space="preserve">ATAGCGAATTGCAGAATTAAGTGAGTCATCGAATCTTTGAACGCATATTGCGCCTACTGGCTATTCTAGTAGGCATGCCTATTTGAGCGTCATTTCAGCACTTATACGTGGTATACTGTTGGAGACTAGCATATGCTATCTCTTAAATGCATATAAGCAGGCTTCCCTTGCAGAGTAAAAACAATGCACCGGGAGTGCCGTCGTTATGTTGACCTCAAATTAGGTAGGAATACCCGCTGAACTTAAGCATATCAATAAGCGGGAGGAAAAAA</t>
  </si>
  <si>
    <t xml:space="preserve">Sanger_206_A_ITS</t>
  </si>
  <si>
    <t xml:space="preserve">GCGATTGCAGAATCTAGTGAGTCATCGAATCTTTGAACGCATATTGCGCCTACTAGCTATTCTAGTAGGCATGCCTATTTGAGCGTCATTTAAAGCATTTATACCTTGTATAGTGTTGGAGAATAGCGAATAAACGACGCTATCTCTAAAATAAAGAAGCAAGCAATTCCACTTCTCTTCTTGTAGAGTAAAAAGCTACAAATGCAAGAAGTTAAAGAAGAAGGAAAGCTTTAAAAAACCTATAAGTTGACCTCAAATTAGGTAGGAATACCCGCTGAACTTAAGCATATCAATAAGCGGGAGG</t>
  </si>
  <si>
    <t xml:space="preserve">Sanger_203_A_SSU</t>
  </si>
  <si>
    <t xml:space="preserve">ACTCGGGAGGGGTGTATTTATTAGATTAAAAGCCAATGCCCCCTGGGCTCTCTGGTGATTCATGATAACTCCTCGAATCGCATGGCCTTGCGCCGGCGATGGTTCATTCAAATTTCTTCCCTATCAACTTTCGATGTTTGGGTAGTGGCCAAACATGGTTGCAACGGGTAACGGAGGGTTAGGGCTCGACCCCGGAGAAGGAGCCTGAGAAACGGCTACTACATCCAAGGAAGGCAGCAGGCGCGCAAATTACCCAATCCCGACAAA</t>
  </si>
  <si>
    <t xml:space="preserve">Sanger_204_B_SSU</t>
  </si>
  <si>
    <t xml:space="preserve">AACGATTCGGGAGGGTTGTTATTTATTAGATTAAAAACCAATGCCCTCTGGGCTCACTGGTGATTCATGATAACTTCGCGAATCGCATGGCCTTGCGCCGGCGATGGCTCATTCAAATTTCTTCCCTATCAACTTTCGATGTTTGGGTAGTGGCCAAACATGGTTGCAACGGGTAACGGAGGGTTAGGGCTCGACCCCGGAGAAGGAGCCTGAGAAACGGCTACTACATCCAAGGAAGGCAGCAGGCGCGCAAATTACCAAAATCCCGTCTA</t>
  </si>
  <si>
    <t xml:space="preserve">Sanger_205_A_SSU</t>
  </si>
  <si>
    <t xml:space="preserve">AACCGAATTTAGAAGGGTTGTATTTATTAGATTAAAAGCCAATGCCCTCTGGGCTCACTGGTGAATCATGATAACTTCGCGAATCGCATGGCCTTGTGCCGGCGATGGCTCATTCAAATTTCTTCCCTATCAACTTTCGATGTTTGGGTAGTGGCCAAACATGGTTGCAACGGGTAACGGAGGGTTAGGGCTCGACCCCGGAGAAGGAGCCTGAGAAACGGCTACTACATCCAAGGAAGGCAGCAGGCGCGCAAATTACCAAATCCCGACAAC</t>
  </si>
  <si>
    <t xml:space="preserve">Sanger_204_B_LSU</t>
  </si>
  <si>
    <t xml:space="preserve">GTAAAACTTTGGAAGAGGGTTAATAGCATGTGAAATTGTTAAAAGGGAAGCGCTTACAACTAGACGTGGGCGTGTCCGATCAACTAGTGATTTCTACTAGGGCATTCAGACACTATCCAGGCTAGCATCGGTTCGCTACAGGGGATAAAGGCGTTAGGAATGTAGCCCTCCTCTCGGAGGGTGTTATAGCCTAGCGTGTAATACCCTGTATGCGGACCGAGGTCTGCGCTTTAATGCAAGGATGCTGGCGTAATGGTTGTTAGTGACCCGTCTTGAAACACGGACCTAGAAC</t>
  </si>
  <si>
    <t xml:space="preserve">Sanger_205_A_LSU</t>
  </si>
  <si>
    <t xml:space="preserve">GGGGAACCTTTGAAGAGGGTTAACAAGTACGTGAAATTGCTAAAAGGGAAGCACTTGCAACTAGACGTAGCGCGTGCCAATCACCTGGCATTTGTGTCAGGGCACTTGGGGCGATGCTAGGCCAGCATCGGTTTGCTGTGGGGGATAAAGACATCTGGAACGTAGCCCTTTGGGTGTTATAGCCAGGTGTGCAATGCCCTGCGGCAGACCGAGGACCTTGCGCATCTGCAAAGATGCTGGCGTAATAGTTGCTAGTGACCCGTCTTGAAACACGGACCCAACT</t>
  </si>
  <si>
    <t xml:space="preserve">Sanger_206_A_LSU</t>
  </si>
  <si>
    <t xml:space="preserve">CAGACAAGGGTTAACAAGTACGTGAAATTGCTAAAAGGGAAGCACTTGCAACTAGACGTAGATATTTCTATTCACTTAGTGTTTTTCACTAAGGTATTTAGGAGTAATCTAGGCTAGCATCGGTTTACTGTAAAGGATAAAGACATTTGGAACGTAGCCCTCTTAGGGGGGTGTTATAGCCAGGTGTGCAATGCTTTACTTGTAGACCGAGGTGTTAATGCGCATTTATGCAAAGATGCTGGCGTAATAGTTGCTAGTGACCCGTCTTGAAACACGGACCTAGAA</t>
  </si>
  <si>
    <t xml:space="preserve">Sanger_203_A_TEF</t>
  </si>
  <si>
    <t xml:space="preserve">GAAGGCCTGGCAAGACTCTCCTCGAGGCCATTGACTCCATCGAGCCCCCCAAGCGCCCCGTCGACAAGCCTCTCCGCCTTCCCCTCCAGGACGTGTACAAGATTGGCGGTATCGGAACTGTTCCTGTCGGCCGTATCGAGACTGGTATCCTCAAGCCCGGTATGGTTGTTACCTTCGCTCCTTCCAACGTCACCACCGAAGTCAAGTCCGTCGAGATGCACCACGAGCAGCA</t>
  </si>
  <si>
    <t xml:space="preserve">Sanger_204_B_TEF</t>
  </si>
  <si>
    <t xml:space="preserve">AGGCAAGACGCTTCTCGAAGCTATCGACGCCATCGAGCCGCCGAAGCGTCCCACCGACAAGCCCCTCCGTCTTCCCCTCCAGGACGTCTACAAGATTGGTGGTATCGGTACTGTCCCCGTCGGCCGTATCGAGACTGGTGTTCTCAAGCCCGGCATGGTCGTCACCTTTGCTCCTTCCAACGTCACTACTGAAGTCAAGTCCGTCGAGATGCACCACGAGCAGC</t>
  </si>
  <si>
    <t xml:space="preserve">Sanger_205_A_TEF</t>
  </si>
  <si>
    <t xml:space="preserve">ATCACCTGGGCAAGACGCTTCTTGAGGCCATCGACGCCATCGAGCCCCCCAAGCGTCCCACTGATAAGCCCCTACGCCTTCCCCTCCAGGATGTCTACAAGATTGGAGGTATCGGCACTGTACCTGTCGGTCGTATTGAGACTGGTGTCATCAAGCCCGGCATGGTCGTTACCTTTGCTCCCTCTAATGTCACTACTGAAGTCAAGTCCGTCGAGATGCACCACGAGCAGCA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</si>
</sst>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onnections" Target="connections.xml"/><Relationship Id="rId6" Type="http://schemas.openxmlformats.org/officeDocument/2006/relationships/customXml" Target="../customXml/item1.xml"/>
</Relationships>
</file>

<file path=xl/tables/table1.xml><?xml version="1.0" encoding="utf-8"?>
<table xmlns="http://schemas.openxmlformats.org/spreadsheetml/2006/main" id="1" name="All_seq_data" displayName="All_seq_data" ref="A1:U39" headerRowCount="1" totalsRowCount="0" totalsRowShown="0">
  <autoFilter ref="A1:U39"/>
  <tableColumns count="21">
    <tableColumn id="1" name="Platform"/>
    <tableColumn id="2" name="Sample"/>
    <tableColumn id="3" name="Marker"/>
    <tableColumn id="4" name="support_reads"/>
    <tableColumn id="5" name="SeqID"/>
    <tableColumn id="6" name="Phylo_ID"/>
    <tableColumn id="7" name="Sequence"/>
    <tableColumn id="8" name="Seq_len"/>
    <tableColumn id="9" name="Found_Marker_BLAST"/>
    <tableColumn id="10" name="Pident"/>
    <tableColumn id="11" name="AlignLength"/>
    <tableColumn id="12" name="BITScore"/>
    <tableColumn id="13" name="Evalue"/>
    <tableColumn id="14" name="Phylum"/>
    <tableColumn id="15" name="Class"/>
    <tableColumn id="16" name="Order"/>
    <tableColumn id="17" name="Family"/>
    <tableColumn id="18" name="Genus"/>
    <tableColumn id="19" name="Species"/>
    <tableColumn id="20" name="kept_discarded"/>
    <tableColumn id="21" name="reaso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61"/>
  <sheetViews>
    <sheetView showFormulas="false" showGridLines="true" showRowColHeaders="true" showZeros="true" rightToLeft="false" tabSelected="true" showOutlineSymbols="true" defaultGridColor="true" view="normal" topLeftCell="F1" colorId="64" zoomScale="80" zoomScaleNormal="80" zoomScalePageLayoutView="100" workbookViewId="0">
      <selection pane="topLeft" activeCell="U39" activeCellId="0" sqref="U39"/>
    </sheetView>
  </sheetViews>
  <sheetFormatPr defaultColWidth="10.55078125" defaultRowHeight="15.7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9.83"/>
    <col collapsed="false" customWidth="true" hidden="false" outlineLevel="0" max="3" min="3" style="1" width="9.51"/>
    <col collapsed="false" customWidth="true" hidden="false" outlineLevel="0" max="4" min="4" style="1" width="13.86"/>
    <col collapsed="false" customWidth="true" hidden="false" outlineLevel="0" max="5" min="5" style="1" width="41.16"/>
    <col collapsed="false" customWidth="true" hidden="false" outlineLevel="0" max="6" min="6" style="1" width="22.96"/>
    <col collapsed="false" customWidth="true" hidden="true" outlineLevel="0" max="7" min="7" style="1" width="80.67"/>
    <col collapsed="false" customWidth="true" hidden="true" outlineLevel="0" max="8" min="8" style="1" width="10"/>
    <col collapsed="false" customWidth="true" hidden="true" outlineLevel="0" max="9" min="9" style="1" width="21.5"/>
    <col collapsed="false" customWidth="true" hidden="false" outlineLevel="0" max="10" min="10" style="1" width="9"/>
    <col collapsed="false" customWidth="true" hidden="false" outlineLevel="0" max="11" min="11" style="1" width="13.5"/>
    <col collapsed="false" customWidth="true" hidden="false" outlineLevel="0" max="13" min="13" style="1" width="9.16"/>
    <col collapsed="false" customWidth="true" hidden="true" outlineLevel="0" max="14" min="14" style="1" width="11"/>
    <col collapsed="false" customWidth="true" hidden="true" outlineLevel="0" max="15" min="15" style="1" width="15.51"/>
    <col collapsed="false" customWidth="true" hidden="true" outlineLevel="0" max="16" min="16" style="1" width="11.5"/>
    <col collapsed="false" customWidth="true" hidden="true" outlineLevel="0" max="17" min="17" style="1" width="19.33"/>
    <col collapsed="false" customWidth="true" hidden="true" outlineLevel="0" max="18" min="18" style="1" width="14.33"/>
    <col collapsed="false" customWidth="true" hidden="false" outlineLevel="0" max="19" min="19" style="1" width="28.46"/>
    <col collapsed="false" customWidth="true" hidden="false" outlineLevel="0" max="20" min="20" style="1" width="26.33"/>
    <col collapsed="false" customWidth="true" hidden="false" outlineLevel="0" max="21" min="21" style="1" width="31.98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</row>
    <row r="2" customFormat="false" ht="15.75" hidden="false" customHeight="false" outlineLevel="0" collapsed="false">
      <c r="A2" s="1" t="s">
        <v>21</v>
      </c>
      <c r="B2" s="1" t="s">
        <v>22</v>
      </c>
      <c r="C2" s="1" t="s">
        <v>23</v>
      </c>
      <c r="D2" s="4" t="n">
        <v>177</v>
      </c>
      <c r="E2" s="1" t="s">
        <v>24</v>
      </c>
      <c r="F2" s="1" t="s">
        <v>25</v>
      </c>
      <c r="G2" s="1" t="s">
        <v>26</v>
      </c>
      <c r="H2" s="1" t="n">
        <v>405</v>
      </c>
      <c r="I2" s="1" t="s">
        <v>23</v>
      </c>
      <c r="J2" s="1" t="n">
        <v>98.653</v>
      </c>
      <c r="K2" s="1" t="n">
        <v>297</v>
      </c>
      <c r="L2" s="1" t="n">
        <v>523</v>
      </c>
      <c r="M2" s="1" t="n">
        <v>7.69E-144</v>
      </c>
      <c r="N2" s="1" t="s">
        <v>27</v>
      </c>
      <c r="O2" s="1" t="s">
        <v>28</v>
      </c>
      <c r="P2" s="1" t="s">
        <v>29</v>
      </c>
      <c r="Q2" s="1" t="s">
        <v>30</v>
      </c>
      <c r="R2" s="1" t="s">
        <v>31</v>
      </c>
      <c r="S2" s="1" t="s">
        <v>32</v>
      </c>
      <c r="T2" s="0" t="s">
        <v>33</v>
      </c>
      <c r="U2" s="0" t="s">
        <v>34</v>
      </c>
      <c r="V2" s="2"/>
      <c r="X2" s="2"/>
      <c r="Y2" s="2"/>
      <c r="Z2" s="2"/>
      <c r="AG2" s="2"/>
      <c r="AH2" s="2"/>
      <c r="AI2" s="2"/>
    </row>
    <row r="3" customFormat="false" ht="15.75" hidden="false" customHeight="false" outlineLevel="0" collapsed="false">
      <c r="A3" s="1" t="s">
        <v>21</v>
      </c>
      <c r="B3" s="1" t="s">
        <v>22</v>
      </c>
      <c r="C3" s="1" t="s">
        <v>35</v>
      </c>
      <c r="D3" s="4" t="n">
        <v>346</v>
      </c>
      <c r="E3" s="1" t="s">
        <v>36</v>
      </c>
      <c r="F3" s="1" t="s">
        <v>37</v>
      </c>
      <c r="G3" s="1" t="s">
        <v>38</v>
      </c>
      <c r="H3" s="1" t="n">
        <v>278</v>
      </c>
      <c r="I3" s="1" t="s">
        <v>35</v>
      </c>
      <c r="J3" s="1" t="n">
        <v>97.473</v>
      </c>
      <c r="K3" s="1" t="n">
        <v>277</v>
      </c>
      <c r="L3" s="1" t="n">
        <v>472</v>
      </c>
      <c r="M3" s="1" t="n">
        <v>1.86E-128</v>
      </c>
      <c r="S3" s="1" t="s">
        <v>39</v>
      </c>
      <c r="T3" s="0" t="s">
        <v>40</v>
      </c>
      <c r="U3" s="0" t="s">
        <v>41</v>
      </c>
      <c r="V3" s="2"/>
      <c r="Y3" s="2"/>
      <c r="Z3" s="2"/>
      <c r="AG3" s="2"/>
      <c r="AH3" s="2"/>
      <c r="AI3" s="2"/>
    </row>
    <row r="4" customFormat="false" ht="15.75" hidden="false" customHeight="false" outlineLevel="0" collapsed="false">
      <c r="A4" s="1" t="s">
        <v>21</v>
      </c>
      <c r="B4" s="1" t="s">
        <v>22</v>
      </c>
      <c r="C4" s="1" t="s">
        <v>42</v>
      </c>
      <c r="D4" s="4" t="n">
        <v>228</v>
      </c>
      <c r="E4" s="1" t="s">
        <v>43</v>
      </c>
      <c r="F4" s="1" t="s">
        <v>44</v>
      </c>
      <c r="G4" s="1" t="s">
        <v>45</v>
      </c>
      <c r="H4" s="1" t="n">
        <v>262</v>
      </c>
      <c r="I4" s="1" t="s">
        <v>42</v>
      </c>
      <c r="J4" s="1" t="n">
        <v>95.769</v>
      </c>
      <c r="K4" s="1" t="n">
        <v>260</v>
      </c>
      <c r="L4" s="1" t="n">
        <v>420</v>
      </c>
      <c r="M4" s="1" t="n">
        <v>6.38E-113</v>
      </c>
      <c r="S4" s="1" t="s">
        <v>39</v>
      </c>
      <c r="T4" s="0" t="s">
        <v>40</v>
      </c>
      <c r="U4" s="0" t="s">
        <v>46</v>
      </c>
      <c r="V4" s="2"/>
      <c r="Y4" s="2"/>
      <c r="Z4" s="2"/>
      <c r="AG4" s="2"/>
      <c r="AH4" s="2"/>
      <c r="AI4" s="2"/>
    </row>
    <row r="5" customFormat="false" ht="15.75" hidden="false" customHeight="false" outlineLevel="0" collapsed="false">
      <c r="A5" s="1" t="s">
        <v>21</v>
      </c>
      <c r="B5" s="1" t="s">
        <v>22</v>
      </c>
      <c r="C5" s="1" t="s">
        <v>47</v>
      </c>
      <c r="D5" s="4" t="n">
        <v>892</v>
      </c>
      <c r="E5" s="1" t="s">
        <v>48</v>
      </c>
      <c r="F5" s="1" t="s">
        <v>49</v>
      </c>
      <c r="G5" s="1" t="s">
        <v>50</v>
      </c>
      <c r="H5" s="1" t="n">
        <v>228</v>
      </c>
      <c r="I5" s="1" t="s">
        <v>47</v>
      </c>
      <c r="J5" s="1" t="n">
        <v>90.308</v>
      </c>
      <c r="K5" s="1" t="n">
        <v>227</v>
      </c>
      <c r="L5" s="1" t="n">
        <v>296</v>
      </c>
      <c r="M5" s="1" t="n">
        <v>9.54E-076</v>
      </c>
      <c r="N5" s="1" t="s">
        <v>27</v>
      </c>
      <c r="O5" s="1" t="s">
        <v>28</v>
      </c>
      <c r="P5" s="1" t="s">
        <v>51</v>
      </c>
      <c r="R5" s="1" t="s">
        <v>52</v>
      </c>
      <c r="S5" s="1" t="s">
        <v>53</v>
      </c>
      <c r="T5" s="0" t="s">
        <v>33</v>
      </c>
      <c r="U5" s="5" t="s">
        <v>54</v>
      </c>
      <c r="V5" s="2"/>
      <c r="Y5" s="2"/>
      <c r="Z5" s="2"/>
      <c r="AG5" s="2"/>
      <c r="AH5" s="2"/>
      <c r="AI5" s="2"/>
    </row>
    <row r="6" customFormat="false" ht="15.75" hidden="false" customHeight="false" outlineLevel="0" collapsed="false">
      <c r="A6" s="1" t="s">
        <v>21</v>
      </c>
      <c r="B6" s="2" t="s">
        <v>55</v>
      </c>
      <c r="C6" s="2" t="s">
        <v>23</v>
      </c>
      <c r="D6" s="2" t="s">
        <v>56</v>
      </c>
      <c r="E6" s="2" t="s">
        <v>57</v>
      </c>
      <c r="F6" s="1" t="s">
        <v>58</v>
      </c>
      <c r="G6" s="2" t="s">
        <v>59</v>
      </c>
      <c r="H6" s="2" t="n">
        <v>303</v>
      </c>
      <c r="I6" s="2" t="str">
        <f aca="false">C6</f>
        <v>ITS</v>
      </c>
      <c r="J6" s="2" t="n">
        <v>99.331</v>
      </c>
      <c r="K6" s="2" t="n">
        <v>299</v>
      </c>
      <c r="L6" s="2" t="n">
        <v>542</v>
      </c>
      <c r="M6" s="6" t="s">
        <v>60</v>
      </c>
      <c r="N6" s="2" t="s">
        <v>27</v>
      </c>
      <c r="O6" s="2" t="s">
        <v>28</v>
      </c>
      <c r="P6" s="2" t="s">
        <v>29</v>
      </c>
      <c r="Q6" s="2" t="s">
        <v>30</v>
      </c>
      <c r="R6" s="2" t="s">
        <v>31</v>
      </c>
      <c r="S6" s="2" t="s">
        <v>61</v>
      </c>
      <c r="T6" s="0" t="s">
        <v>33</v>
      </c>
      <c r="U6" s="0" t="s">
        <v>34</v>
      </c>
      <c r="V6" s="2"/>
      <c r="Y6" s="2"/>
      <c r="Z6" s="2"/>
      <c r="AG6" s="2"/>
      <c r="AH6" s="2"/>
      <c r="AI6" s="2"/>
    </row>
    <row r="7" customFormat="false" ht="15.75" hidden="false" customHeight="false" outlineLevel="0" collapsed="false">
      <c r="A7" s="1" t="s">
        <v>21</v>
      </c>
      <c r="B7" s="2" t="s">
        <v>55</v>
      </c>
      <c r="C7" s="2" t="s">
        <v>35</v>
      </c>
      <c r="D7" s="2" t="s">
        <v>62</v>
      </c>
      <c r="E7" s="2" t="s">
        <v>63</v>
      </c>
      <c r="F7" s="1" t="s">
        <v>64</v>
      </c>
      <c r="G7" s="2" t="s">
        <v>65</v>
      </c>
      <c r="H7" s="2" t="n">
        <v>279</v>
      </c>
      <c r="I7" s="2" t="str">
        <f aca="false">C7</f>
        <v>LSU</v>
      </c>
      <c r="J7" s="2" t="n">
        <v>89.247</v>
      </c>
      <c r="K7" s="2" t="n">
        <v>279</v>
      </c>
      <c r="L7" s="2" t="n">
        <v>348</v>
      </c>
      <c r="M7" s="6" t="s">
        <v>66</v>
      </c>
      <c r="N7" s="2" t="s">
        <v>27</v>
      </c>
      <c r="O7" s="2" t="s">
        <v>28</v>
      </c>
      <c r="P7" s="2" t="s">
        <v>29</v>
      </c>
      <c r="Q7" s="2" t="s">
        <v>30</v>
      </c>
      <c r="R7" s="2" t="s">
        <v>31</v>
      </c>
      <c r="S7" s="2" t="s">
        <v>67</v>
      </c>
      <c r="T7" s="0" t="s">
        <v>33</v>
      </c>
      <c r="U7" s="0" t="s">
        <v>34</v>
      </c>
      <c r="V7" s="2"/>
      <c r="Y7" s="2"/>
      <c r="Z7" s="2"/>
      <c r="AG7" s="2"/>
      <c r="AH7" s="2"/>
      <c r="AI7" s="2"/>
    </row>
    <row r="8" customFormat="false" ht="15.75" hidden="false" customHeight="false" outlineLevel="0" collapsed="false">
      <c r="A8" s="1" t="s">
        <v>21</v>
      </c>
      <c r="B8" s="2" t="s">
        <v>55</v>
      </c>
      <c r="C8" s="2" t="s">
        <v>68</v>
      </c>
      <c r="D8" s="2" t="s">
        <v>69</v>
      </c>
      <c r="E8" s="2" t="s">
        <v>70</v>
      </c>
      <c r="F8" s="1" t="s">
        <v>71</v>
      </c>
      <c r="G8" s="2" t="s">
        <v>72</v>
      </c>
      <c r="H8" s="2" t="n">
        <v>296</v>
      </c>
      <c r="I8" s="2" t="str">
        <f aca="false">C8</f>
        <v>RPB1</v>
      </c>
      <c r="J8" s="2" t="n">
        <v>89.931</v>
      </c>
      <c r="K8" s="2" t="n">
        <v>288</v>
      </c>
      <c r="L8" s="2" t="n">
        <v>372</v>
      </c>
      <c r="M8" s="6" t="s">
        <v>73</v>
      </c>
      <c r="N8" s="2" t="s">
        <v>27</v>
      </c>
      <c r="O8" s="2" t="s">
        <v>28</v>
      </c>
      <c r="P8" s="2" t="s">
        <v>29</v>
      </c>
      <c r="Q8" s="2" t="s">
        <v>30</v>
      </c>
      <c r="R8" s="2" t="s">
        <v>31</v>
      </c>
      <c r="S8" s="2" t="s">
        <v>74</v>
      </c>
      <c r="T8" s="0" t="s">
        <v>33</v>
      </c>
      <c r="U8" s="5" t="s">
        <v>54</v>
      </c>
      <c r="V8" s="2"/>
      <c r="Y8" s="2"/>
      <c r="Z8" s="2"/>
      <c r="AG8" s="2"/>
      <c r="AH8" s="2"/>
      <c r="AI8" s="2"/>
    </row>
    <row r="9" customFormat="false" ht="15.75" hidden="false" customHeight="false" outlineLevel="0" collapsed="false">
      <c r="A9" s="1" t="s">
        <v>21</v>
      </c>
      <c r="B9" s="2" t="s">
        <v>55</v>
      </c>
      <c r="C9" s="2" t="s">
        <v>47</v>
      </c>
      <c r="D9" s="2" t="s">
        <v>75</v>
      </c>
      <c r="E9" s="2" t="s">
        <v>76</v>
      </c>
      <c r="F9" s="1" t="s">
        <v>77</v>
      </c>
      <c r="G9" s="2" t="s">
        <v>78</v>
      </c>
      <c r="H9" s="2" t="n">
        <v>234</v>
      </c>
      <c r="I9" s="2" t="str">
        <f aca="false">C9</f>
        <v>TEF</v>
      </c>
      <c r="J9" s="2" t="n">
        <v>92.14</v>
      </c>
      <c r="K9" s="2" t="n">
        <v>229</v>
      </c>
      <c r="L9" s="2" t="n">
        <v>324</v>
      </c>
      <c r="M9" s="6" t="s">
        <v>79</v>
      </c>
      <c r="N9" s="2" t="s">
        <v>27</v>
      </c>
      <c r="O9" s="2" t="s">
        <v>28</v>
      </c>
      <c r="P9" s="2"/>
      <c r="Q9" s="2"/>
      <c r="R9" s="2" t="s">
        <v>80</v>
      </c>
      <c r="S9" s="2" t="s">
        <v>81</v>
      </c>
      <c r="T9" s="0" t="s">
        <v>33</v>
      </c>
      <c r="U9" s="5" t="s">
        <v>54</v>
      </c>
      <c r="V9" s="2"/>
      <c r="Y9" s="2"/>
      <c r="Z9" s="2"/>
      <c r="AG9" s="2"/>
      <c r="AH9" s="2"/>
      <c r="AI9" s="2"/>
    </row>
    <row r="10" customFormat="false" ht="15.75" hidden="false" customHeight="false" outlineLevel="0" collapsed="false">
      <c r="A10" s="1" t="s">
        <v>21</v>
      </c>
      <c r="B10" s="2" t="s">
        <v>82</v>
      </c>
      <c r="C10" s="2" t="s">
        <v>35</v>
      </c>
      <c r="D10" s="2" t="s">
        <v>83</v>
      </c>
      <c r="E10" s="2" t="s">
        <v>84</v>
      </c>
      <c r="F10" s="1" t="s">
        <v>85</v>
      </c>
      <c r="G10" s="2" t="s">
        <v>86</v>
      </c>
      <c r="H10" s="2" t="n">
        <v>275</v>
      </c>
      <c r="I10" s="2" t="str">
        <f aca="false">C10</f>
        <v>LSU</v>
      </c>
      <c r="J10" s="2" t="n">
        <v>100</v>
      </c>
      <c r="K10" s="2" t="n">
        <v>270</v>
      </c>
      <c r="L10" s="2" t="n">
        <v>499</v>
      </c>
      <c r="M10" s="6" t="s">
        <v>87</v>
      </c>
      <c r="N10" s="2" t="s">
        <v>27</v>
      </c>
      <c r="O10" s="2" t="s">
        <v>28</v>
      </c>
      <c r="P10" s="2" t="s">
        <v>29</v>
      </c>
      <c r="Q10" s="2" t="s">
        <v>30</v>
      </c>
      <c r="R10" s="2" t="s">
        <v>31</v>
      </c>
      <c r="S10" s="2" t="s">
        <v>67</v>
      </c>
      <c r="T10" s="0" t="s">
        <v>33</v>
      </c>
      <c r="U10" s="0" t="s">
        <v>34</v>
      </c>
      <c r="V10" s="2"/>
      <c r="Y10" s="2"/>
      <c r="Z10" s="2"/>
      <c r="AG10" s="2"/>
      <c r="AH10" s="2"/>
      <c r="AI10" s="2"/>
    </row>
    <row r="11" customFormat="false" ht="15.75" hidden="false" customHeight="false" outlineLevel="0" collapsed="false">
      <c r="A11" s="1" t="s">
        <v>21</v>
      </c>
      <c r="B11" s="2" t="s">
        <v>82</v>
      </c>
      <c r="C11" s="2" t="s">
        <v>68</v>
      </c>
      <c r="D11" s="2" t="s">
        <v>62</v>
      </c>
      <c r="E11" s="2" t="s">
        <v>88</v>
      </c>
      <c r="F11" s="1" t="s">
        <v>89</v>
      </c>
      <c r="G11" s="2" t="s">
        <v>90</v>
      </c>
      <c r="H11" s="2" t="n">
        <v>290</v>
      </c>
      <c r="I11" s="2" t="str">
        <f aca="false">C11</f>
        <v>RPB1</v>
      </c>
      <c r="J11" s="2" t="n">
        <v>99.653</v>
      </c>
      <c r="K11" s="2" t="n">
        <v>288</v>
      </c>
      <c r="L11" s="2" t="n">
        <v>527</v>
      </c>
      <c r="M11" s="6" t="s">
        <v>91</v>
      </c>
      <c r="N11" s="2" t="s">
        <v>27</v>
      </c>
      <c r="O11" s="2" t="s">
        <v>28</v>
      </c>
      <c r="P11" s="2" t="s">
        <v>29</v>
      </c>
      <c r="Q11" s="2" t="s">
        <v>30</v>
      </c>
      <c r="R11" s="2" t="s">
        <v>31</v>
      </c>
      <c r="S11" s="2" t="s">
        <v>67</v>
      </c>
      <c r="T11" s="0" t="s">
        <v>33</v>
      </c>
      <c r="U11" s="0" t="s">
        <v>34</v>
      </c>
      <c r="V11" s="2"/>
      <c r="Y11" s="2"/>
      <c r="Z11" s="2"/>
      <c r="AG11" s="2"/>
      <c r="AH11" s="2"/>
      <c r="AI11" s="2"/>
    </row>
    <row r="12" customFormat="false" ht="15.75" hidden="false" customHeight="false" outlineLevel="0" collapsed="false">
      <c r="A12" s="1" t="s">
        <v>21</v>
      </c>
      <c r="B12" s="2" t="s">
        <v>82</v>
      </c>
      <c r="C12" s="2" t="s">
        <v>47</v>
      </c>
      <c r="D12" s="2" t="s">
        <v>92</v>
      </c>
      <c r="E12" s="2" t="s">
        <v>93</v>
      </c>
      <c r="F12" s="1" t="s">
        <v>94</v>
      </c>
      <c r="G12" s="2" t="s">
        <v>95</v>
      </c>
      <c r="H12" s="2" t="n">
        <v>239</v>
      </c>
      <c r="I12" s="2" t="str">
        <f aca="false">C12</f>
        <v>TEF</v>
      </c>
      <c r="J12" s="2" t="n">
        <v>99.567</v>
      </c>
      <c r="K12" s="2" t="n">
        <v>231</v>
      </c>
      <c r="L12" s="2" t="n">
        <v>420</v>
      </c>
      <c r="M12" s="6" t="s">
        <v>96</v>
      </c>
      <c r="N12" s="2" t="s">
        <v>27</v>
      </c>
      <c r="O12" s="2" t="s">
        <v>28</v>
      </c>
      <c r="P12" s="2" t="s">
        <v>29</v>
      </c>
      <c r="Q12" s="2" t="s">
        <v>30</v>
      </c>
      <c r="R12" s="2" t="s">
        <v>31</v>
      </c>
      <c r="S12" s="2" t="s">
        <v>67</v>
      </c>
      <c r="T12" s="0" t="s">
        <v>33</v>
      </c>
      <c r="U12" s="0" t="s">
        <v>34</v>
      </c>
      <c r="V12" s="2"/>
      <c r="Y12" s="2"/>
      <c r="Z12" s="2"/>
      <c r="AG12" s="2"/>
      <c r="AH12" s="2"/>
      <c r="AI12" s="2"/>
    </row>
    <row r="13" customFormat="false" ht="15.75" hidden="false" customHeight="false" outlineLevel="0" collapsed="false">
      <c r="A13" s="1" t="s">
        <v>21</v>
      </c>
      <c r="B13" s="2" t="s">
        <v>97</v>
      </c>
      <c r="C13" s="2" t="s">
        <v>23</v>
      </c>
      <c r="D13" s="2" t="s">
        <v>98</v>
      </c>
      <c r="E13" s="2" t="s">
        <v>99</v>
      </c>
      <c r="F13" s="1" t="s">
        <v>100</v>
      </c>
      <c r="G13" s="2" t="s">
        <v>101</v>
      </c>
      <c r="H13" s="2" t="n">
        <v>306</v>
      </c>
      <c r="I13" s="2" t="str">
        <f aca="false">C13</f>
        <v>ITS</v>
      </c>
      <c r="J13" s="2" t="n">
        <v>97.36</v>
      </c>
      <c r="K13" s="2" t="n">
        <v>303</v>
      </c>
      <c r="L13" s="2" t="n">
        <v>510</v>
      </c>
      <c r="M13" s="6" t="s">
        <v>102</v>
      </c>
      <c r="N13" s="2" t="s">
        <v>27</v>
      </c>
      <c r="O13" s="2" t="s">
        <v>28</v>
      </c>
      <c r="P13" s="2" t="s">
        <v>29</v>
      </c>
      <c r="Q13" s="2" t="s">
        <v>30</v>
      </c>
      <c r="R13" s="2" t="s">
        <v>31</v>
      </c>
      <c r="S13" s="2" t="s">
        <v>103</v>
      </c>
      <c r="T13" s="0" t="s">
        <v>33</v>
      </c>
      <c r="U13" s="0" t="s">
        <v>54</v>
      </c>
      <c r="V13" s="2"/>
      <c r="Y13" s="2"/>
      <c r="Z13" s="2"/>
      <c r="AG13" s="2"/>
      <c r="AH13" s="2"/>
      <c r="AI13" s="2"/>
    </row>
    <row r="14" customFormat="false" ht="15.75" hidden="false" customHeight="false" outlineLevel="0" collapsed="false">
      <c r="A14" s="1" t="s">
        <v>21</v>
      </c>
      <c r="B14" s="2" t="s">
        <v>97</v>
      </c>
      <c r="C14" s="2" t="s">
        <v>35</v>
      </c>
      <c r="D14" s="2" t="s">
        <v>104</v>
      </c>
      <c r="E14" s="2" t="s">
        <v>105</v>
      </c>
      <c r="F14" s="1" t="s">
        <v>106</v>
      </c>
      <c r="G14" s="2" t="s">
        <v>107</v>
      </c>
      <c r="H14" s="2" t="n">
        <v>291</v>
      </c>
      <c r="I14" s="2" t="str">
        <f aca="false">C14</f>
        <v>LSU</v>
      </c>
      <c r="J14" s="2" t="n">
        <v>98.929</v>
      </c>
      <c r="K14" s="2" t="n">
        <v>280</v>
      </c>
      <c r="L14" s="2" t="n">
        <v>501</v>
      </c>
      <c r="M14" s="6" t="s">
        <v>108</v>
      </c>
      <c r="N14" s="2" t="s">
        <v>27</v>
      </c>
      <c r="O14" s="2" t="s">
        <v>28</v>
      </c>
      <c r="P14" s="2" t="s">
        <v>29</v>
      </c>
      <c r="Q14" s="2" t="s">
        <v>30</v>
      </c>
      <c r="R14" s="2" t="s">
        <v>31</v>
      </c>
      <c r="S14" s="2" t="s">
        <v>109</v>
      </c>
      <c r="T14" s="0" t="s">
        <v>33</v>
      </c>
      <c r="U14" s="0" t="s">
        <v>34</v>
      </c>
      <c r="V14" s="2"/>
      <c r="Y14" s="2"/>
      <c r="Z14" s="2"/>
      <c r="AG14" s="2"/>
      <c r="AH14" s="2"/>
      <c r="AI14" s="2"/>
    </row>
    <row r="15" customFormat="false" ht="15.75" hidden="false" customHeight="false" outlineLevel="0" collapsed="false">
      <c r="A15" s="1" t="s">
        <v>21</v>
      </c>
      <c r="B15" s="2" t="s">
        <v>97</v>
      </c>
      <c r="C15" s="2" t="s">
        <v>47</v>
      </c>
      <c r="D15" s="2" t="s">
        <v>110</v>
      </c>
      <c r="E15" s="2" t="s">
        <v>111</v>
      </c>
      <c r="F15" s="1" t="s">
        <v>112</v>
      </c>
      <c r="G15" s="2" t="s">
        <v>113</v>
      </c>
      <c r="H15" s="2" t="n">
        <v>229</v>
      </c>
      <c r="I15" s="2" t="str">
        <f aca="false">C15</f>
        <v>TEF</v>
      </c>
      <c r="J15" s="2" t="n">
        <v>100</v>
      </c>
      <c r="K15" s="2" t="n">
        <v>226</v>
      </c>
      <c r="L15" s="2" t="n">
        <v>418</v>
      </c>
      <c r="M15" s="2" t="n">
        <v>0</v>
      </c>
      <c r="N15" s="2" t="s">
        <v>27</v>
      </c>
      <c r="O15" s="2" t="s">
        <v>28</v>
      </c>
      <c r="P15" s="2" t="s">
        <v>29</v>
      </c>
      <c r="Q15" s="2" t="s">
        <v>30</v>
      </c>
      <c r="R15" s="2" t="s">
        <v>31</v>
      </c>
      <c r="S15" s="2" t="s">
        <v>67</v>
      </c>
      <c r="T15" s="0" t="s">
        <v>33</v>
      </c>
      <c r="U15" s="0" t="s">
        <v>34</v>
      </c>
      <c r="V15" s="2"/>
      <c r="Y15" s="2"/>
      <c r="Z15" s="2"/>
      <c r="AG15" s="2"/>
      <c r="AH15" s="2"/>
      <c r="AI15" s="2"/>
    </row>
    <row r="16" customFormat="false" ht="15.75" hidden="false" customHeight="false" outlineLevel="0" collapsed="false">
      <c r="A16" s="2" t="s">
        <v>114</v>
      </c>
      <c r="B16" s="2" t="s">
        <v>55</v>
      </c>
      <c r="C16" s="2" t="s">
        <v>47</v>
      </c>
      <c r="D16" s="2" t="s">
        <v>115</v>
      </c>
      <c r="E16" s="2" t="s">
        <v>116</v>
      </c>
      <c r="F16" s="2" t="s">
        <v>117</v>
      </c>
      <c r="G16" s="2" t="s">
        <v>118</v>
      </c>
      <c r="H16" s="1" t="n">
        <v>248</v>
      </c>
      <c r="I16" s="2" t="s">
        <v>47</v>
      </c>
      <c r="J16" s="1" t="n">
        <v>92.3</v>
      </c>
      <c r="K16" s="1" t="n">
        <v>246</v>
      </c>
      <c r="L16" s="1" t="n">
        <v>350</v>
      </c>
      <c r="M16" s="1" t="n">
        <v>2.6E-093</v>
      </c>
      <c r="N16" s="2" t="s">
        <v>27</v>
      </c>
      <c r="O16" s="2" t="s">
        <v>28</v>
      </c>
      <c r="P16" s="2" t="s">
        <v>51</v>
      </c>
      <c r="Q16" s="2" t="s">
        <v>119</v>
      </c>
      <c r="R16" s="2" t="s">
        <v>120</v>
      </c>
      <c r="S16" s="2" t="s">
        <v>121</v>
      </c>
      <c r="T16" s="0" t="s">
        <v>33</v>
      </c>
      <c r="U16" s="0" t="s">
        <v>54</v>
      </c>
    </row>
    <row r="17" customFormat="false" ht="15.75" hidden="false" customHeight="false" outlineLevel="0" collapsed="false">
      <c r="A17" s="2" t="s">
        <v>114</v>
      </c>
      <c r="B17" s="2" t="s">
        <v>82</v>
      </c>
      <c r="C17" s="2" t="s">
        <v>47</v>
      </c>
      <c r="D17" s="2" t="s">
        <v>122</v>
      </c>
      <c r="E17" s="2" t="s">
        <v>123</v>
      </c>
      <c r="F17" s="2" t="s">
        <v>124</v>
      </c>
      <c r="G17" s="2" t="s">
        <v>125</v>
      </c>
      <c r="H17" s="1" t="n">
        <v>248</v>
      </c>
      <c r="I17" s="2" t="s">
        <v>47</v>
      </c>
      <c r="J17" s="1" t="n">
        <v>99.6</v>
      </c>
      <c r="K17" s="1" t="n">
        <v>246</v>
      </c>
      <c r="L17" s="1" t="n">
        <v>449</v>
      </c>
      <c r="M17" s="1" t="n">
        <v>2.5E-123</v>
      </c>
      <c r="N17" s="2" t="s">
        <v>27</v>
      </c>
      <c r="O17" s="2" t="s">
        <v>28</v>
      </c>
      <c r="P17" s="2" t="s">
        <v>29</v>
      </c>
      <c r="Q17" s="2" t="s">
        <v>30</v>
      </c>
      <c r="R17" s="2" t="s">
        <v>31</v>
      </c>
      <c r="S17" s="2" t="s">
        <v>67</v>
      </c>
      <c r="T17" s="0" t="s">
        <v>33</v>
      </c>
      <c r="U17" s="0" t="s">
        <v>34</v>
      </c>
    </row>
    <row r="18" customFormat="false" ht="15.75" hidden="false" customHeight="false" outlineLevel="0" collapsed="false">
      <c r="A18" s="2" t="s">
        <v>114</v>
      </c>
      <c r="B18" s="2" t="s">
        <v>22</v>
      </c>
      <c r="C18" s="2" t="s">
        <v>42</v>
      </c>
      <c r="D18" s="2" t="s">
        <v>126</v>
      </c>
      <c r="E18" s="2" t="s">
        <v>127</v>
      </c>
      <c r="F18" s="2" t="s">
        <v>128</v>
      </c>
      <c r="G18" s="2" t="s">
        <v>129</v>
      </c>
      <c r="H18" s="1" t="n">
        <v>278</v>
      </c>
      <c r="I18" s="2" t="s">
        <v>42</v>
      </c>
      <c r="J18" s="1" t="n">
        <v>99.3</v>
      </c>
      <c r="K18" s="1" t="n">
        <v>276</v>
      </c>
      <c r="L18" s="1" t="n">
        <v>499</v>
      </c>
      <c r="M18" s="1" t="n">
        <v>2.8E-138</v>
      </c>
      <c r="N18" s="2" t="s">
        <v>27</v>
      </c>
      <c r="O18" s="2" t="s">
        <v>28</v>
      </c>
      <c r="P18" s="2" t="s">
        <v>29</v>
      </c>
      <c r="Q18" s="2" t="s">
        <v>30</v>
      </c>
      <c r="R18" s="2" t="s">
        <v>31</v>
      </c>
      <c r="S18" s="2" t="s">
        <v>130</v>
      </c>
      <c r="T18" s="0" t="s">
        <v>40</v>
      </c>
      <c r="U18" s="0" t="s">
        <v>41</v>
      </c>
    </row>
    <row r="19" customFormat="false" ht="15.75" hidden="false" customHeight="false" outlineLevel="0" collapsed="false">
      <c r="A19" s="2" t="s">
        <v>114</v>
      </c>
      <c r="B19" s="2" t="s">
        <v>55</v>
      </c>
      <c r="C19" s="2" t="s">
        <v>42</v>
      </c>
      <c r="D19" s="2" t="s">
        <v>131</v>
      </c>
      <c r="E19" s="2" t="s">
        <v>132</v>
      </c>
      <c r="F19" s="2" t="s">
        <v>133</v>
      </c>
      <c r="G19" s="2" t="s">
        <v>134</v>
      </c>
      <c r="H19" s="1" t="n">
        <v>278</v>
      </c>
      <c r="I19" s="2" t="s">
        <v>42</v>
      </c>
      <c r="J19" s="1" t="n">
        <v>98.9</v>
      </c>
      <c r="K19" s="1" t="n">
        <v>275</v>
      </c>
      <c r="L19" s="1" t="n">
        <v>492</v>
      </c>
      <c r="M19" s="1" t="n">
        <v>4.7E-136</v>
      </c>
      <c r="N19" s="2" t="s">
        <v>27</v>
      </c>
      <c r="O19" s="2" t="s">
        <v>28</v>
      </c>
      <c r="P19" s="2" t="s">
        <v>29</v>
      </c>
      <c r="Q19" s="2" t="s">
        <v>30</v>
      </c>
      <c r="R19" s="2" t="s">
        <v>31</v>
      </c>
      <c r="S19" s="2" t="s">
        <v>135</v>
      </c>
      <c r="T19" s="0" t="s">
        <v>33</v>
      </c>
      <c r="U19" s="5" t="s">
        <v>54</v>
      </c>
    </row>
    <row r="20" customFormat="false" ht="15.75" hidden="false" customHeight="false" outlineLevel="0" collapsed="false">
      <c r="A20" s="2" t="s">
        <v>114</v>
      </c>
      <c r="B20" s="2" t="s">
        <v>82</v>
      </c>
      <c r="C20" s="2" t="s">
        <v>42</v>
      </c>
      <c r="D20" s="2" t="s">
        <v>136</v>
      </c>
      <c r="E20" s="2" t="s">
        <v>137</v>
      </c>
      <c r="F20" s="2" t="s">
        <v>138</v>
      </c>
      <c r="G20" s="2" t="s">
        <v>139</v>
      </c>
      <c r="H20" s="1" t="n">
        <v>278</v>
      </c>
      <c r="I20" s="2" t="s">
        <v>42</v>
      </c>
      <c r="J20" s="1" t="n">
        <v>100</v>
      </c>
      <c r="K20" s="1" t="n">
        <v>275</v>
      </c>
      <c r="L20" s="1" t="n">
        <v>508</v>
      </c>
      <c r="M20" s="1" t="n">
        <v>4.7E-141</v>
      </c>
      <c r="N20" s="2" t="s">
        <v>27</v>
      </c>
      <c r="O20" s="2" t="s">
        <v>28</v>
      </c>
      <c r="P20" s="2" t="s">
        <v>29</v>
      </c>
      <c r="Q20" s="2" t="s">
        <v>30</v>
      </c>
      <c r="R20" s="2" t="s">
        <v>31</v>
      </c>
      <c r="S20" s="2" t="s">
        <v>67</v>
      </c>
      <c r="T20" s="0" t="s">
        <v>33</v>
      </c>
      <c r="U20" s="0" t="s">
        <v>34</v>
      </c>
    </row>
    <row r="21" customFormat="false" ht="15.75" hidden="false" customHeight="false" outlineLevel="0" collapsed="false">
      <c r="A21" s="2" t="s">
        <v>114</v>
      </c>
      <c r="B21" s="2" t="s">
        <v>97</v>
      </c>
      <c r="C21" s="2" t="s">
        <v>42</v>
      </c>
      <c r="D21" s="2" t="s">
        <v>140</v>
      </c>
      <c r="E21" s="2" t="s">
        <v>141</v>
      </c>
      <c r="F21" s="2" t="s">
        <v>142</v>
      </c>
      <c r="G21" s="2" t="s">
        <v>143</v>
      </c>
      <c r="H21" s="1" t="n">
        <v>278</v>
      </c>
      <c r="I21" s="2" t="s">
        <v>42</v>
      </c>
      <c r="J21" s="1" t="n">
        <v>100</v>
      </c>
      <c r="K21" s="1" t="n">
        <v>275</v>
      </c>
      <c r="L21" s="1" t="n">
        <v>508</v>
      </c>
      <c r="M21" s="1" t="n">
        <v>4.7E-141</v>
      </c>
      <c r="N21" s="2" t="s">
        <v>27</v>
      </c>
      <c r="O21" s="2" t="s">
        <v>28</v>
      </c>
      <c r="P21" s="2" t="s">
        <v>29</v>
      </c>
      <c r="Q21" s="2" t="s">
        <v>30</v>
      </c>
      <c r="R21" s="2" t="s">
        <v>31</v>
      </c>
      <c r="S21" s="2" t="s">
        <v>103</v>
      </c>
      <c r="T21" s="0" t="s">
        <v>33</v>
      </c>
      <c r="U21" s="0" t="s">
        <v>34</v>
      </c>
    </row>
    <row r="22" customFormat="false" ht="15.75" hidden="false" customHeight="false" outlineLevel="0" collapsed="false">
      <c r="A22" s="2" t="s">
        <v>114</v>
      </c>
      <c r="B22" s="2" t="s">
        <v>82</v>
      </c>
      <c r="C22" s="2" t="s">
        <v>35</v>
      </c>
      <c r="D22" s="2" t="s">
        <v>144</v>
      </c>
      <c r="E22" s="2" t="s">
        <v>145</v>
      </c>
      <c r="F22" s="2" t="s">
        <v>146</v>
      </c>
      <c r="G22" s="2" t="s">
        <v>147</v>
      </c>
      <c r="H22" s="1" t="n">
        <v>288</v>
      </c>
      <c r="I22" s="2" t="s">
        <v>35</v>
      </c>
      <c r="J22" s="1" t="n">
        <v>99.6</v>
      </c>
      <c r="K22" s="1" t="n">
        <v>269</v>
      </c>
      <c r="L22" s="1" t="n">
        <v>492</v>
      </c>
      <c r="M22" s="1" t="n">
        <v>4.9E-136</v>
      </c>
      <c r="N22" s="2" t="s">
        <v>27</v>
      </c>
      <c r="O22" s="2" t="s">
        <v>28</v>
      </c>
      <c r="P22" s="2" t="s">
        <v>29</v>
      </c>
      <c r="Q22" s="2" t="s">
        <v>30</v>
      </c>
      <c r="R22" s="2" t="s">
        <v>31</v>
      </c>
      <c r="S22" s="2" t="s">
        <v>67</v>
      </c>
      <c r="T22" s="0" t="s">
        <v>33</v>
      </c>
      <c r="U22" s="0" t="s">
        <v>34</v>
      </c>
    </row>
    <row r="23" customFormat="false" ht="15.75" hidden="false" customHeight="false" outlineLevel="0" collapsed="false">
      <c r="A23" s="2" t="s">
        <v>114</v>
      </c>
      <c r="B23" s="2" t="s">
        <v>97</v>
      </c>
      <c r="C23" s="2" t="s">
        <v>35</v>
      </c>
      <c r="D23" s="2" t="s">
        <v>148</v>
      </c>
      <c r="E23" s="2" t="s">
        <v>149</v>
      </c>
      <c r="F23" s="2" t="s">
        <v>150</v>
      </c>
      <c r="G23" s="2" t="s">
        <v>151</v>
      </c>
      <c r="H23" s="1" t="n">
        <v>280</v>
      </c>
      <c r="I23" s="2" t="s">
        <v>35</v>
      </c>
      <c r="J23" s="1" t="n">
        <v>98.9</v>
      </c>
      <c r="K23" s="1" t="n">
        <v>280</v>
      </c>
      <c r="L23" s="1" t="n">
        <v>501</v>
      </c>
      <c r="M23" s="1" t="n">
        <v>7.9E-139</v>
      </c>
      <c r="N23" s="2" t="s">
        <v>27</v>
      </c>
      <c r="O23" s="2" t="s">
        <v>28</v>
      </c>
      <c r="P23" s="2" t="s">
        <v>29</v>
      </c>
      <c r="Q23" s="2" t="s">
        <v>30</v>
      </c>
      <c r="R23" s="2" t="s">
        <v>31</v>
      </c>
      <c r="S23" s="2" t="s">
        <v>109</v>
      </c>
      <c r="T23" s="0" t="s">
        <v>33</v>
      </c>
      <c r="U23" s="0" t="s">
        <v>34</v>
      </c>
    </row>
    <row r="24" customFormat="false" ht="15.75" hidden="false" customHeight="false" outlineLevel="0" collapsed="false">
      <c r="A24" s="2" t="s">
        <v>114</v>
      </c>
      <c r="B24" s="2" t="s">
        <v>22</v>
      </c>
      <c r="C24" s="2" t="s">
        <v>23</v>
      </c>
      <c r="D24" s="2" t="s">
        <v>152</v>
      </c>
      <c r="E24" s="2" t="s">
        <v>153</v>
      </c>
      <c r="F24" s="2" t="s">
        <v>154</v>
      </c>
      <c r="G24" s="2" t="s">
        <v>155</v>
      </c>
      <c r="H24" s="1" t="n">
        <v>303</v>
      </c>
      <c r="I24" s="2" t="s">
        <v>23</v>
      </c>
      <c r="J24" s="1" t="n">
        <v>100</v>
      </c>
      <c r="K24" s="1" t="n">
        <v>303</v>
      </c>
      <c r="L24" s="1" t="n">
        <v>560</v>
      </c>
      <c r="M24" s="1" t="n">
        <v>1.4E-156</v>
      </c>
      <c r="N24" s="2" t="s">
        <v>27</v>
      </c>
      <c r="O24" s="2" t="s">
        <v>156</v>
      </c>
      <c r="P24" s="2" t="s">
        <v>157</v>
      </c>
      <c r="Q24" s="2" t="s">
        <v>158</v>
      </c>
      <c r="R24" s="2"/>
      <c r="S24" s="2" t="s">
        <v>159</v>
      </c>
      <c r="T24" s="0" t="s">
        <v>40</v>
      </c>
      <c r="U24" s="0" t="s">
        <v>41</v>
      </c>
    </row>
    <row r="25" customFormat="false" ht="15.75" hidden="false" customHeight="false" outlineLevel="0" collapsed="false">
      <c r="A25" s="2" t="s">
        <v>114</v>
      </c>
      <c r="B25" s="2" t="s">
        <v>55</v>
      </c>
      <c r="C25" s="2" t="s">
        <v>23</v>
      </c>
      <c r="D25" s="2" t="s">
        <v>160</v>
      </c>
      <c r="E25" s="2" t="s">
        <v>161</v>
      </c>
      <c r="F25" s="2" t="s">
        <v>162</v>
      </c>
      <c r="G25" s="2" t="s">
        <v>163</v>
      </c>
      <c r="H25" s="1" t="n">
        <v>297</v>
      </c>
      <c r="I25" s="2" t="s">
        <v>23</v>
      </c>
      <c r="J25" s="1" t="n">
        <v>99.3</v>
      </c>
      <c r="K25" s="1" t="n">
        <v>297</v>
      </c>
      <c r="L25" s="1" t="n">
        <v>538</v>
      </c>
      <c r="M25" s="1" t="n">
        <v>6.4E-150</v>
      </c>
      <c r="N25" s="2" t="s">
        <v>27</v>
      </c>
      <c r="O25" s="2" t="s">
        <v>28</v>
      </c>
      <c r="P25" s="2" t="s">
        <v>29</v>
      </c>
      <c r="Q25" s="2" t="s">
        <v>30</v>
      </c>
      <c r="R25" s="2" t="s">
        <v>31</v>
      </c>
      <c r="S25" s="2" t="s">
        <v>61</v>
      </c>
      <c r="T25" s="0" t="s">
        <v>33</v>
      </c>
      <c r="U25" s="0" t="s">
        <v>34</v>
      </c>
    </row>
    <row r="26" customFormat="false" ht="15.75" hidden="false" customHeight="false" outlineLevel="0" collapsed="false">
      <c r="A26" s="2" t="s">
        <v>114</v>
      </c>
      <c r="B26" s="2" t="s">
        <v>82</v>
      </c>
      <c r="C26" s="2" t="s">
        <v>23</v>
      </c>
      <c r="D26" s="2" t="s">
        <v>164</v>
      </c>
      <c r="E26" s="2" t="s">
        <v>165</v>
      </c>
      <c r="F26" s="2" t="s">
        <v>166</v>
      </c>
      <c r="G26" s="2" t="s">
        <v>167</v>
      </c>
      <c r="H26" s="1" t="n">
        <v>281</v>
      </c>
      <c r="I26" s="2" t="s">
        <v>23</v>
      </c>
      <c r="J26" s="1" t="n">
        <v>89</v>
      </c>
      <c r="L26" s="1" t="n">
        <v>237</v>
      </c>
      <c r="M26" s="1" t="n">
        <v>2E-059</v>
      </c>
      <c r="N26" s="2" t="s">
        <v>27</v>
      </c>
      <c r="O26" s="2" t="s">
        <v>28</v>
      </c>
      <c r="P26" s="2" t="s">
        <v>29</v>
      </c>
      <c r="Q26" s="2" t="s">
        <v>30</v>
      </c>
      <c r="R26" s="2" t="s">
        <v>31</v>
      </c>
      <c r="S26" s="2" t="s">
        <v>168</v>
      </c>
      <c r="T26" s="0" t="s">
        <v>33</v>
      </c>
      <c r="U26" s="0" t="s">
        <v>54</v>
      </c>
    </row>
    <row r="27" customFormat="false" ht="15.75" hidden="false" customHeight="false" outlineLevel="0" collapsed="false">
      <c r="A27" s="2" t="s">
        <v>114</v>
      </c>
      <c r="B27" s="2" t="s">
        <v>97</v>
      </c>
      <c r="C27" s="2" t="s">
        <v>23</v>
      </c>
      <c r="D27" s="2" t="s">
        <v>169</v>
      </c>
      <c r="E27" s="2" t="s">
        <v>170</v>
      </c>
      <c r="F27" s="2" t="s">
        <v>171</v>
      </c>
      <c r="G27" s="2" t="s">
        <v>172</v>
      </c>
      <c r="H27" s="1" t="n">
        <v>302</v>
      </c>
      <c r="I27" s="2" t="s">
        <v>23</v>
      </c>
      <c r="J27" s="1" t="n">
        <v>97</v>
      </c>
      <c r="K27" s="1" t="n">
        <v>305</v>
      </c>
      <c r="L27" s="1" t="n">
        <v>507</v>
      </c>
      <c r="M27" s="1" t="n">
        <v>1.9E-140</v>
      </c>
      <c r="N27" s="2" t="s">
        <v>27</v>
      </c>
      <c r="O27" s="2" t="s">
        <v>28</v>
      </c>
      <c r="P27" s="2" t="s">
        <v>29</v>
      </c>
      <c r="Q27" s="2" t="s">
        <v>30</v>
      </c>
      <c r="R27" s="2" t="s">
        <v>31</v>
      </c>
      <c r="S27" s="2" t="s">
        <v>67</v>
      </c>
      <c r="T27" s="0" t="s">
        <v>33</v>
      </c>
      <c r="U27" s="0" t="s">
        <v>34</v>
      </c>
    </row>
    <row r="28" customFormat="false" ht="15.75" hidden="false" customHeight="false" outlineLevel="0" collapsed="false">
      <c r="A28" s="2" t="s">
        <v>173</v>
      </c>
      <c r="B28" s="2" t="s">
        <v>55</v>
      </c>
      <c r="C28" s="2" t="s">
        <v>23</v>
      </c>
      <c r="D28" s="2" t="s">
        <v>174</v>
      </c>
      <c r="E28" s="2" t="s">
        <v>174</v>
      </c>
      <c r="F28" s="2" t="s">
        <v>175</v>
      </c>
      <c r="G28" s="2" t="s">
        <v>176</v>
      </c>
      <c r="H28" s="1" t="n">
        <v>297</v>
      </c>
      <c r="I28" s="2" t="s">
        <v>23</v>
      </c>
      <c r="J28" s="1" t="n">
        <v>99</v>
      </c>
      <c r="K28" s="1" t="n">
        <v>295</v>
      </c>
      <c r="L28" s="1" t="n">
        <v>516</v>
      </c>
      <c r="M28" s="1" t="n">
        <v>1.8E-141</v>
      </c>
      <c r="N28" s="2" t="s">
        <v>27</v>
      </c>
      <c r="O28" s="2" t="s">
        <v>28</v>
      </c>
      <c r="P28" s="2" t="s">
        <v>29</v>
      </c>
      <c r="Q28" s="2" t="s">
        <v>30</v>
      </c>
      <c r="R28" s="2" t="s">
        <v>31</v>
      </c>
      <c r="S28" s="2" t="s">
        <v>61</v>
      </c>
      <c r="T28" s="0" t="s">
        <v>33</v>
      </c>
      <c r="U28" s="0" t="s">
        <v>34</v>
      </c>
    </row>
    <row r="29" customFormat="false" ht="15.75" hidden="false" customHeight="false" outlineLevel="0" collapsed="false">
      <c r="A29" s="2" t="s">
        <v>173</v>
      </c>
      <c r="B29" s="2" t="s">
        <v>82</v>
      </c>
      <c r="C29" s="2" t="s">
        <v>23</v>
      </c>
      <c r="D29" s="2" t="s">
        <v>174</v>
      </c>
      <c r="E29" s="2" t="s">
        <v>174</v>
      </c>
      <c r="F29" s="2" t="s">
        <v>177</v>
      </c>
      <c r="G29" s="2" t="s">
        <v>178</v>
      </c>
      <c r="H29" s="1" t="n">
        <v>272</v>
      </c>
      <c r="I29" s="2" t="s">
        <v>23</v>
      </c>
      <c r="J29" s="1" t="n">
        <v>77</v>
      </c>
      <c r="K29" s="1" t="n">
        <v>305</v>
      </c>
      <c r="L29" s="1" t="n">
        <v>233</v>
      </c>
      <c r="M29" s="1" t="n">
        <v>2.8E-056</v>
      </c>
      <c r="N29" s="2" t="s">
        <v>27</v>
      </c>
      <c r="O29" s="2" t="s">
        <v>28</v>
      </c>
      <c r="P29" s="2" t="s">
        <v>29</v>
      </c>
      <c r="Q29" s="2" t="s">
        <v>30</v>
      </c>
      <c r="R29" s="2" t="s">
        <v>31</v>
      </c>
      <c r="S29" s="2" t="s">
        <v>67</v>
      </c>
      <c r="T29" s="0" t="s">
        <v>33</v>
      </c>
      <c r="U29" s="0" t="s">
        <v>34</v>
      </c>
    </row>
    <row r="30" customFormat="false" ht="15.75" hidden="false" customHeight="false" outlineLevel="0" collapsed="false">
      <c r="A30" s="2" t="s">
        <v>173</v>
      </c>
      <c r="B30" s="2" t="s">
        <v>97</v>
      </c>
      <c r="C30" s="2" t="s">
        <v>23</v>
      </c>
      <c r="D30" s="2" t="s">
        <v>174</v>
      </c>
      <c r="E30" s="2" t="s">
        <v>174</v>
      </c>
      <c r="F30" s="2" t="s">
        <v>179</v>
      </c>
      <c r="G30" s="2" t="s">
        <v>180</v>
      </c>
      <c r="H30" s="1" t="n">
        <v>304</v>
      </c>
      <c r="I30" s="2" t="s">
        <v>23</v>
      </c>
      <c r="J30" s="1" t="n">
        <v>96</v>
      </c>
      <c r="K30" s="1" t="n">
        <v>300</v>
      </c>
      <c r="L30" s="1" t="n">
        <v>479</v>
      </c>
      <c r="M30" s="1" t="n">
        <v>1.3E-130</v>
      </c>
      <c r="N30" s="2" t="s">
        <v>27</v>
      </c>
      <c r="O30" s="2" t="s">
        <v>28</v>
      </c>
      <c r="P30" s="2" t="s">
        <v>29</v>
      </c>
      <c r="Q30" s="2" t="s">
        <v>30</v>
      </c>
      <c r="R30" s="2" t="s">
        <v>31</v>
      </c>
      <c r="S30" s="2" t="s">
        <v>109</v>
      </c>
      <c r="T30" s="0" t="s">
        <v>33</v>
      </c>
      <c r="U30" s="0" t="s">
        <v>34</v>
      </c>
    </row>
    <row r="31" customFormat="false" ht="15.75" hidden="false" customHeight="false" outlineLevel="0" collapsed="false">
      <c r="A31" s="2" t="s">
        <v>173</v>
      </c>
      <c r="B31" s="2" t="s">
        <v>22</v>
      </c>
      <c r="C31" s="2" t="s">
        <v>42</v>
      </c>
      <c r="D31" s="2" t="s">
        <v>174</v>
      </c>
      <c r="E31" s="2" t="s">
        <v>174</v>
      </c>
      <c r="F31" s="2" t="s">
        <v>181</v>
      </c>
      <c r="G31" s="2" t="s">
        <v>182</v>
      </c>
      <c r="H31" s="1" t="n">
        <v>267</v>
      </c>
      <c r="I31" s="2" t="s">
        <v>42</v>
      </c>
      <c r="J31" s="1" t="n">
        <v>99.2</v>
      </c>
      <c r="K31" s="1" t="n">
        <v>262</v>
      </c>
      <c r="L31" s="1" t="n">
        <v>464</v>
      </c>
      <c r="M31" s="1" t="n">
        <v>2.5E-126</v>
      </c>
      <c r="N31" s="2" t="s">
        <v>27</v>
      </c>
      <c r="O31" s="2" t="s">
        <v>28</v>
      </c>
      <c r="P31" s="2" t="s">
        <v>29</v>
      </c>
      <c r="Q31" s="2" t="s">
        <v>30</v>
      </c>
      <c r="R31" s="2" t="s">
        <v>31</v>
      </c>
      <c r="S31" s="2" t="s">
        <v>130</v>
      </c>
      <c r="T31" s="0" t="s">
        <v>40</v>
      </c>
      <c r="U31" s="0" t="s">
        <v>41</v>
      </c>
    </row>
    <row r="32" customFormat="false" ht="15.75" hidden="false" customHeight="false" outlineLevel="0" collapsed="false">
      <c r="A32" s="2" t="s">
        <v>173</v>
      </c>
      <c r="B32" s="2" t="s">
        <v>55</v>
      </c>
      <c r="C32" s="2" t="s">
        <v>42</v>
      </c>
      <c r="D32" s="2" t="s">
        <v>174</v>
      </c>
      <c r="E32" s="2" t="s">
        <v>174</v>
      </c>
      <c r="F32" s="2" t="s">
        <v>183</v>
      </c>
      <c r="G32" s="2" t="s">
        <v>184</v>
      </c>
      <c r="H32" s="1" t="n">
        <v>272</v>
      </c>
      <c r="I32" s="2" t="s">
        <v>42</v>
      </c>
      <c r="J32" s="1" t="n">
        <v>98.5</v>
      </c>
      <c r="K32" s="1" t="n">
        <v>263</v>
      </c>
      <c r="L32" s="1" t="n">
        <v>450</v>
      </c>
      <c r="M32" s="1" t="n">
        <v>5.7E-122</v>
      </c>
      <c r="N32" s="2" t="s">
        <v>27</v>
      </c>
      <c r="O32" s="2" t="s">
        <v>28</v>
      </c>
      <c r="P32" s="2" t="s">
        <v>29</v>
      </c>
      <c r="Q32" s="2" t="s">
        <v>30</v>
      </c>
      <c r="R32" s="2" t="s">
        <v>31</v>
      </c>
      <c r="S32" s="2" t="s">
        <v>135</v>
      </c>
      <c r="T32" s="0" t="s">
        <v>33</v>
      </c>
      <c r="U32" s="5" t="s">
        <v>54</v>
      </c>
    </row>
    <row r="33" customFormat="false" ht="15.75" hidden="false" customHeight="false" outlineLevel="0" collapsed="false">
      <c r="A33" s="2" t="s">
        <v>173</v>
      </c>
      <c r="B33" s="2" t="s">
        <v>82</v>
      </c>
      <c r="C33" s="2" t="s">
        <v>42</v>
      </c>
      <c r="D33" s="2" t="s">
        <v>174</v>
      </c>
      <c r="E33" s="2" t="s">
        <v>174</v>
      </c>
      <c r="F33" s="2" t="s">
        <v>185</v>
      </c>
      <c r="G33" s="2" t="s">
        <v>186</v>
      </c>
      <c r="H33" s="1" t="n">
        <v>273</v>
      </c>
      <c r="I33" s="2" t="s">
        <v>42</v>
      </c>
      <c r="J33" s="1" t="n">
        <v>99.3</v>
      </c>
      <c r="K33" s="1" t="n">
        <v>267</v>
      </c>
      <c r="L33" s="1" t="n">
        <v>473</v>
      </c>
      <c r="M33" s="1" t="n">
        <v>5E-129</v>
      </c>
      <c r="N33" s="2" t="s">
        <v>27</v>
      </c>
      <c r="O33" s="2" t="s">
        <v>28</v>
      </c>
      <c r="P33" s="2" t="s">
        <v>29</v>
      </c>
      <c r="Q33" s="2" t="s">
        <v>30</v>
      </c>
      <c r="R33" s="2" t="s">
        <v>31</v>
      </c>
      <c r="S33" s="2" t="s">
        <v>67</v>
      </c>
      <c r="T33" s="0" t="s">
        <v>33</v>
      </c>
      <c r="U33" s="0" t="s">
        <v>34</v>
      </c>
    </row>
    <row r="34" customFormat="false" ht="15.75" hidden="false" customHeight="false" outlineLevel="0" collapsed="false">
      <c r="A34" s="2" t="s">
        <v>173</v>
      </c>
      <c r="B34" s="2" t="s">
        <v>55</v>
      </c>
      <c r="C34" s="2" t="s">
        <v>35</v>
      </c>
      <c r="D34" s="2" t="s">
        <v>174</v>
      </c>
      <c r="E34" s="2" t="s">
        <v>174</v>
      </c>
      <c r="F34" s="2" t="s">
        <v>187</v>
      </c>
      <c r="G34" s="2" t="s">
        <v>188</v>
      </c>
      <c r="H34" s="1" t="n">
        <v>292</v>
      </c>
      <c r="I34" s="2" t="s">
        <v>35</v>
      </c>
      <c r="J34" s="1" t="n">
        <v>88.5</v>
      </c>
      <c r="K34" s="1" t="n">
        <v>288</v>
      </c>
      <c r="L34" s="1" t="n">
        <v>357</v>
      </c>
      <c r="M34" s="1" t="n">
        <v>1.1E-093</v>
      </c>
      <c r="N34" s="2" t="s">
        <v>27</v>
      </c>
      <c r="O34" s="2" t="s">
        <v>28</v>
      </c>
      <c r="P34" s="2" t="s">
        <v>29</v>
      </c>
      <c r="Q34" s="2" t="s">
        <v>30</v>
      </c>
      <c r="R34" s="2" t="s">
        <v>31</v>
      </c>
      <c r="S34" s="2" t="s">
        <v>67</v>
      </c>
      <c r="T34" s="0" t="s">
        <v>33</v>
      </c>
      <c r="U34" s="0" t="s">
        <v>34</v>
      </c>
    </row>
    <row r="35" customFormat="false" ht="15.75" hidden="false" customHeight="false" outlineLevel="0" collapsed="false">
      <c r="A35" s="2" t="s">
        <v>173</v>
      </c>
      <c r="B35" s="2" t="s">
        <v>82</v>
      </c>
      <c r="C35" s="2" t="s">
        <v>35</v>
      </c>
      <c r="D35" s="2" t="s">
        <v>174</v>
      </c>
      <c r="E35" s="2" t="s">
        <v>174</v>
      </c>
      <c r="F35" s="2" t="s">
        <v>189</v>
      </c>
      <c r="G35" s="2" t="s">
        <v>190</v>
      </c>
      <c r="H35" s="1" t="n">
        <v>283</v>
      </c>
      <c r="I35" s="2" t="s">
        <v>35</v>
      </c>
      <c r="J35" s="1" t="n">
        <v>98.5</v>
      </c>
      <c r="K35" s="1" t="n">
        <v>273</v>
      </c>
      <c r="L35" s="1" t="n">
        <v>472</v>
      </c>
      <c r="M35" s="1" t="n">
        <v>1.9E-128</v>
      </c>
      <c r="N35" s="2" t="s">
        <v>27</v>
      </c>
      <c r="O35" s="2" t="s">
        <v>28</v>
      </c>
      <c r="P35" s="2" t="s">
        <v>29</v>
      </c>
      <c r="Q35" s="2" t="s">
        <v>30</v>
      </c>
      <c r="R35" s="2" t="s">
        <v>31</v>
      </c>
      <c r="S35" s="2" t="s">
        <v>67</v>
      </c>
      <c r="T35" s="0" t="s">
        <v>33</v>
      </c>
      <c r="U35" s="0" t="s">
        <v>34</v>
      </c>
    </row>
    <row r="36" customFormat="false" ht="15.75" hidden="false" customHeight="false" outlineLevel="0" collapsed="false">
      <c r="A36" s="2" t="s">
        <v>173</v>
      </c>
      <c r="B36" s="2" t="s">
        <v>97</v>
      </c>
      <c r="C36" s="2" t="s">
        <v>35</v>
      </c>
      <c r="D36" s="2" t="s">
        <v>174</v>
      </c>
      <c r="E36" s="2" t="s">
        <v>174</v>
      </c>
      <c r="F36" s="2" t="s">
        <v>191</v>
      </c>
      <c r="G36" s="2" t="s">
        <v>192</v>
      </c>
      <c r="H36" s="1" t="n">
        <v>285</v>
      </c>
      <c r="I36" s="2" t="s">
        <v>35</v>
      </c>
      <c r="J36" s="1" t="n">
        <v>97.8</v>
      </c>
      <c r="K36" s="1" t="n">
        <v>277</v>
      </c>
      <c r="L36" s="1" t="n">
        <v>473</v>
      </c>
      <c r="M36" s="1" t="n">
        <v>5.4E-129</v>
      </c>
      <c r="N36" s="2" t="s">
        <v>27</v>
      </c>
      <c r="O36" s="2" t="s">
        <v>28</v>
      </c>
      <c r="P36" s="2" t="s">
        <v>29</v>
      </c>
      <c r="Q36" s="2" t="s">
        <v>30</v>
      </c>
      <c r="R36" s="2" t="s">
        <v>31</v>
      </c>
      <c r="S36" s="2" t="s">
        <v>67</v>
      </c>
      <c r="T36" s="0" t="s">
        <v>33</v>
      </c>
      <c r="U36" s="0" t="s">
        <v>34</v>
      </c>
    </row>
    <row r="37" customFormat="false" ht="15.75" hidden="false" customHeight="false" outlineLevel="0" collapsed="false">
      <c r="A37" s="2" t="s">
        <v>173</v>
      </c>
      <c r="B37" s="2" t="s">
        <v>22</v>
      </c>
      <c r="C37" s="2" t="s">
        <v>47</v>
      </c>
      <c r="D37" s="2" t="s">
        <v>174</v>
      </c>
      <c r="E37" s="2" t="s">
        <v>174</v>
      </c>
      <c r="F37" s="2" t="s">
        <v>193</v>
      </c>
      <c r="G37" s="2" t="s">
        <v>194</v>
      </c>
      <c r="H37" s="1" t="n">
        <v>232</v>
      </c>
      <c r="I37" s="2" t="s">
        <v>47</v>
      </c>
      <c r="J37" s="1" t="n">
        <v>98.7</v>
      </c>
      <c r="K37" s="1" t="n">
        <v>232</v>
      </c>
      <c r="L37" s="1" t="n">
        <v>403</v>
      </c>
      <c r="M37" s="1" t="n">
        <v>6.3E-108</v>
      </c>
      <c r="N37" s="2" t="s">
        <v>27</v>
      </c>
      <c r="O37" s="2" t="s">
        <v>28</v>
      </c>
      <c r="P37" s="2" t="s">
        <v>29</v>
      </c>
      <c r="Q37" s="2" t="s">
        <v>30</v>
      </c>
      <c r="R37" s="2" t="s">
        <v>31</v>
      </c>
      <c r="S37" s="2" t="s">
        <v>130</v>
      </c>
      <c r="T37" s="0" t="s">
        <v>40</v>
      </c>
      <c r="U37" s="0" t="s">
        <v>41</v>
      </c>
    </row>
    <row r="38" customFormat="false" ht="15.75" hidden="false" customHeight="false" outlineLevel="0" collapsed="false">
      <c r="A38" s="2" t="s">
        <v>173</v>
      </c>
      <c r="B38" s="2" t="s">
        <v>55</v>
      </c>
      <c r="C38" s="2" t="s">
        <v>47</v>
      </c>
      <c r="D38" s="2" t="s">
        <v>174</v>
      </c>
      <c r="E38" s="2" t="s">
        <v>174</v>
      </c>
      <c r="F38" s="2" t="s">
        <v>195</v>
      </c>
      <c r="G38" s="2" t="s">
        <v>196</v>
      </c>
      <c r="H38" s="1" t="n">
        <v>224</v>
      </c>
      <c r="I38" s="2" t="s">
        <v>47</v>
      </c>
      <c r="J38" s="1" t="n">
        <v>93.7</v>
      </c>
      <c r="K38" s="1" t="n">
        <v>223</v>
      </c>
      <c r="L38" s="1" t="n">
        <v>340</v>
      </c>
      <c r="M38" s="1" t="n">
        <v>6.1E-089</v>
      </c>
      <c r="N38" s="2" t="s">
        <v>27</v>
      </c>
      <c r="O38" s="2" t="s">
        <v>28</v>
      </c>
      <c r="P38" s="2" t="s">
        <v>51</v>
      </c>
      <c r="Q38" s="2" t="s">
        <v>119</v>
      </c>
      <c r="R38" s="2" t="s">
        <v>120</v>
      </c>
      <c r="S38" s="2" t="s">
        <v>121</v>
      </c>
      <c r="T38" s="0" t="s">
        <v>33</v>
      </c>
      <c r="U38" s="5" t="s">
        <v>54</v>
      </c>
    </row>
    <row r="39" customFormat="false" ht="15.75" hidden="false" customHeight="false" outlineLevel="0" collapsed="false">
      <c r="A39" s="2" t="s">
        <v>173</v>
      </c>
      <c r="B39" s="2" t="s">
        <v>82</v>
      </c>
      <c r="C39" s="2" t="s">
        <v>47</v>
      </c>
      <c r="D39" s="2" t="s">
        <v>174</v>
      </c>
      <c r="E39" s="2" t="s">
        <v>174</v>
      </c>
      <c r="F39" s="2" t="s">
        <v>197</v>
      </c>
      <c r="G39" s="2" t="s">
        <v>198</v>
      </c>
      <c r="H39" s="1" t="n">
        <v>232</v>
      </c>
      <c r="I39" s="2" t="s">
        <v>47</v>
      </c>
      <c r="J39" s="1" t="n">
        <v>99.6</v>
      </c>
      <c r="K39" s="1" t="n">
        <v>223</v>
      </c>
      <c r="L39" s="1" t="n">
        <v>398</v>
      </c>
      <c r="M39" s="1" t="n">
        <v>2.7E-106</v>
      </c>
      <c r="N39" s="2" t="s">
        <v>27</v>
      </c>
      <c r="O39" s="2" t="s">
        <v>28</v>
      </c>
      <c r="P39" s="2" t="s">
        <v>29</v>
      </c>
      <c r="Q39" s="2" t="s">
        <v>30</v>
      </c>
      <c r="R39" s="2" t="s">
        <v>31</v>
      </c>
      <c r="S39" s="2" t="s">
        <v>67</v>
      </c>
      <c r="T39" s="0" t="s">
        <v>33</v>
      </c>
      <c r="U39" s="0" t="s">
        <v>34</v>
      </c>
    </row>
    <row r="48" customFormat="false" ht="15.75" hidden="false" customHeight="false" outlineLevel="0" collapsed="false">
      <c r="F48" s="0"/>
    </row>
    <row r="49" customFormat="false" ht="15.75" hidden="false" customHeight="false" outlineLevel="0" collapsed="false">
      <c r="F49" s="0"/>
    </row>
    <row r="50" customFormat="false" ht="15.75" hidden="false" customHeight="false" outlineLevel="0" collapsed="false">
      <c r="F50" s="0"/>
    </row>
    <row r="51" customFormat="false" ht="15.75" hidden="false" customHeight="false" outlineLevel="0" collapsed="false">
      <c r="F51" s="0"/>
    </row>
    <row r="52" customFormat="false" ht="15.75" hidden="false" customHeight="false" outlineLevel="0" collapsed="false">
      <c r="F52" s="0"/>
    </row>
    <row r="53" customFormat="false" ht="15.75" hidden="false" customHeight="false" outlineLevel="0" collapsed="false">
      <c r="F53" s="0"/>
    </row>
    <row r="54" customFormat="false" ht="15.75" hidden="false" customHeight="false" outlineLevel="0" collapsed="false">
      <c r="F54" s="0"/>
    </row>
    <row r="55" customFormat="false" ht="15.75" hidden="false" customHeight="false" outlineLevel="0" collapsed="false">
      <c r="F55" s="0"/>
    </row>
    <row r="56" customFormat="false" ht="15.75" hidden="false" customHeight="false" outlineLevel="0" collapsed="false">
      <c r="F56" s="0"/>
    </row>
    <row r="57" customFormat="false" ht="15.75" hidden="false" customHeight="false" outlineLevel="0" collapsed="false">
      <c r="F57" s="0"/>
    </row>
    <row r="58" customFormat="false" ht="15.75" hidden="false" customHeight="false" outlineLevel="0" collapsed="false">
      <c r="F58" s="0"/>
    </row>
    <row r="59" customFormat="false" ht="15.75" hidden="false" customHeight="false" outlineLevel="0" collapsed="false">
      <c r="F59" s="0"/>
    </row>
    <row r="60" customFormat="false" ht="15.75" hidden="false" customHeight="false" outlineLevel="0" collapsed="false">
      <c r="F60" s="0"/>
    </row>
    <row r="61" customFormat="false" ht="15.75" hidden="false" customHeight="false" outlineLevel="0" collapsed="false">
      <c r="F61" s="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JYEAABQSwMEFAAACAgAXLRUXPKqmuymAAAA9gAAABIAAABDb25maWcvUGFja2FnZS54bWyFj0ELgjAcxb+K7O42J4HInFCHLglBEF3HXDrSv+Fm87t16CP1FTLK6tbxvfd78N79euP52DbBRffWdJChCFMUaFBdaaDK0OCOYYJywbdSnWSlgwkGm47WZKh27pwS4r3HPsZdXxFGaUQOxWanat3K0IB1EpRGn1b5v4UE37/GCIajRYRjlmDKyWzywsAXYNPeZ/pj8tXQuKHXQkO4XnIyS07eH8QDUEsDBBQAAAgIAFy0VFyedLDI4gEAANMDAAATAAAARm9ybXVsYXMvU2VjdGlvbjEubXVSwW7aQBC9I+UfVu4FJAcHKU0URT2AgQaJNFSGU1VZi3fAq65nndldVCvqv3cMSdPK9GL7vTf75s14HRReWxTZ6T26v+hd9FwpCZQYG5M7eM6V9FJ8EgZ8T4jMBiqAYeoOw6ktQgXo+3NtYJha9AxcP0o2Dsgl5Mz17V2y1FuS1CSpsUFl3pLcQ/KEMCV9gMsN8pOc9o3dpbYGLFnGZKZskKTylXVe2SJ/gErXHkgmE2017mzyGIzXXAp5XTbG8leT/B15WLhDNIjFtykYXWk+y6mjOIpFak2o0DEc3cVihoVVGvcMbz5eXY1i8TVYD5lvTDvnOxh+sQjfBzFv4UO0IluxoEQJUnH+iEvXcstVr8rDie+fFsYxXnmOmBXSSGr7ewp/HNNS4p4Ni2M64Zsa3k3XJNHtLFWn7GsWXf9Mili8vEQrI31by6h1ER5++l+sRJmsagMd+lHSD6AO7UJdW/I5sbfresHzYtphV+2vyM8IXB4Ai25zFnIDyPwC/c31sB3tKMxtQJWfsuWT5Thbd7tpxRfujcZQbYGOwtjoPS4B977sGk8W66ywBF1ldpAmwBm/dqzQ3WdqpOtu5onUmW3OZaVN06E/A4Yzy62h0PAvz0IEeLnJokFP43+vzP1vUEsDBBQAAAgIAFy0VFwPyumrpAAAAOkAAAATAAAAW0NvbnRlbnRfVHlwZXNdLnhtbG2OSw7CMAxErxJ5n7qwQAg1ZQHcgAtEwf2I5qPGReFsLDgSVyBtd4ilZ+Z55vN6V8dkB/GgMfbeKdgUJQhyxt961yqYuJF7ONbV9Rkoihx1UUHHHA6I0XRkdSx8IJedxo9Wcz7HFoM2d90Sbstyh8Y7JseS5x9QV2dq9DSwuKQsr7UZB3Fac3OVAqbEuMj4l7A/eR3C0BvN2cQkbZR2IXEZXn8BUEsBAhQDFAAACAgAXLRUXPKqmuymAAAA9gAAABIAAAAAAAAAAAAAAKSBAAAAAENvbmZpZy9QYWNrYWdlLnhtbFBLAQIUAxQAAAgIAFy0VFyedLDI4gEAANMDAAATAAAAAAAAAAAAAACkgdYAAABGb3JtdWxhcy9TZWN0aW9uMS5tUEsBAhQDFAAACAgAXLRUXA/K6aukAAAA6QAAABMAAAAAAAAAAAAAAKSB6QIAAFtDb250ZW50X1R5cGVzXS54bWxQSwUGAAAAAAMAAwDCAAAAvgMAAAAAEAEAAO+7vzw/eG1sIHZlcnNpb249IjEuMCIgZW5jb2Rpbmc9InV0Zi04Ij8+PFBlcm1pc3Npb25MaXN0IHhtbG5zOnhzaT0iaHR0cDovL3d3dy53My5vcmcvMjAwMS9YTUxTY2hlbWEtaW5zdGFuY2UiIHhtbG5zOnhzZD0iaHR0cDovL3d3dy53My5vcmcvMjAwMS9YTUxTY2hlbWEiPjxDYW5FdmFsdWF0ZUZ1dHVyZVBhY2thZ2VzPmZhbHNlPC9DYW5FdmFsdWF0ZUZ1dHVyZVBhY2thZ2VzPjxGaXJld2FsbEVuYWJsZWQ+dHJ1ZTwvRmlyZXdhbGxFbmFibGVkPjwvUGVybWlzc2lvbkxpc3Q+JhQAAAAAAAAEFAAA77u/PD94bWwgdmVyc2lvbj0iMS4wIiBlbmNvZGluZz0idXRmLTgiPz48TG9jYWxQYWNrYWdlTWV0YWRhdGFGaWxlIHhtbG5zOnhzaT0iaHR0cDovL3d3dy53My5vcmcvMjAwMS9YTUxTY2hlbWEtaW5zdGFuY2UiIHhtbG5zOnhzZD0iaHR0cDovL3d3dy53My5vcmcvMjAwMS9YTUxTY2hlbWEiPjxJdGVtcz48SXRlbT48SXRlbUxvY2F0aW9uPjxJdGVtVHlwZT5BbGxGb3JtdWxhczwvSXRlbVR5cGU+PEl0ZW1QYXRoIC8+PC9JdGVtTG9jYXRpb24+PFN0YWJsZUVudHJpZXM+PEVudHJ5IFR5cGU9IklzVHlwZURldGVjdGlvbkVuYWJsZWQiIFZhbHVlPSJzVHJ1ZSIgLz48L1N0YWJsZUVudHJpZXM+PC9JdGVtPjxJdGVtPjxJdGVtTG9jYXRpb24+PEl0ZW1UeXBlPkZvcm11bGE8L0l0ZW1UeXBlPjxJdGVtUGF0aD5TZWN0aW9uMS9BbGxfc2VxX2RhdGE8L0l0ZW1QYXRoPjwvSXRlbUxvY2F0aW9uPjxTdGFibGVFbnRyaWVzPjxFbnRyeSBUeXBlPSJJc1ByaXZhdGUiIFZhbHVlPSJsMCIgLz48RW50cnkgVHlwZT0iTG9hZFRvUmVwb3J0RGlzYWJsZWQiIFZhbHVlPSJsMCIgLz48RW50cnkgVHlwZT0iRmlsbEVuYWJsZWQiIFZhbHVlPSJsMSIgLz48RW50cnkgVHlwZT0iRmlsbE9iamVjdFR5cGUiIFZhbHVlPSJzVGFibGUiIC8+PEVudHJ5IFR5cGU9IkZpbGxUb0RhdGFNb2RlbEVuYWJsZWQiIFZhbHVlPSJsMCIgLz48RW50cnkgVHlwZT0iUXVlcnlJRCIgVmFsdWU9InNmMTI5YTViNS03ZGJmLTQyODQtYTI1OS04ZTliOWE4NmJhOGEiIC8+PEVudHJ5IFR5cGU9IkJ1ZmZlck5leHRSZWZyZXNoIiBWYWx1ZT0ibDEiIC8+PEVudHJ5IFR5cGU9IlJlc3VsdFR5cGUiIFZhbHVlPSJzVGFibGUiIC8+PEVudHJ5IFR5cGU9Ik5hbWVVcGRhdGVkQWZ0ZXJGaWxsIiBWYWx1ZT0ibDAiIC8+PEVudHJ5IFR5cGU9IkZpbGxUYXJnZXQiIFZhbHVlPSJzQWxsX3NlcV9kYXRhIiAvPjxFbnRyeSBUeXBlPSJGaWxsZWRDb21wbGV0ZVJlc3VsdFRvV29ya3NoZWV0IiBWYWx1ZT0ibDEiIC8+PEVudHJ5IFR5cGU9IkFkZGVkVG9EYXRhTW9kZWwiIFZhbHVlPSJsMCIgLz48RW50cnkgVHlwZT0iRmlsbENvdW50IiBWYWx1ZT0ibDM4IiAvPjxFbnRyeSBUeXBlPSJGaWxsRXJyb3JDb2RlIiBWYWx1ZT0ic1Vua25vd24iIC8+PEVudHJ5IFR5cGU9IkZpbGxFcnJvckNvdW50IiBWYWx1ZT0ibDAiIC8+PEVudHJ5IFR5cGU9IkZpbGxMYXN0VXBkYXRlZCIgVmFsdWU9ImQyMDI2LTAyLTIxVDAxOjM0OjU3LjQyMTIzNDBaIiAvPjxFbnRyeSBUeXBlPSJGaWxsQ29sdW1uVHlwZXMiIFZhbHVlPSJzQmdZR0JnWUdCZ01HQlFNREJRWUdCZ1lHQmc9PSIgLz48RW50cnkgVHlwZT0iRmlsbENvbHVtbk5hbWVzIiBWYWx1ZT0ic1smcXVvdDtQbGF0Zm9ybSZxdW90OywmcXVvdDtTYW1wbGUmcXVvdDssJnF1b3Q7TWFya2VyJnF1b3Q7LCZxdW90O3N1cHBvcnRfcmVhZHMmcXVvdDssJnF1b3Q7U2VxSUQmcXVvdDssJnF1b3Q7UGh5bG9fSUQmcXVvdDssJnF1b3Q7U2VxdWVuY2UmcXVvdDssJnF1b3Q7U2VxX2xlbiZxdW90OywmcXVvdDtGb3VuZF9NYXJrZXJfQkxBU1QmcXVvdDssJnF1b3Q7UGlkZW50JnF1b3Q7LCZxdW90O0FsaWduTGVuZ3RoJnF1b3Q7LCZxdW90O0JJVFNjb3JlJnF1b3Q7LCZxdW90O0V2YWx1ZSZxdW90OywmcXVvdDtQaHlsdW0mcXVvdDssJnF1b3Q7Q2xhc3MmcXVvdDssJnF1b3Q7T3JkZXImcXVvdDssJnF1b3Q7RmFtaWx5JnF1b3Q7LCZxdW90O0dlbnVzJnF1b3Q7LCZxdW90O1NwZWNpZXMmcXVvdDtdIiAvPjxFbnRyeSBUeXBlPSJGaWxsU3RhdHVzIiBWYWx1ZT0ic0NvbXBsZXRlIiAvPjxFbnRyeSBUeXBlPSJSZWxhdGlvbnNoaXBJbmZvQ29udGFpbmVyIiBWYWx1ZT0ic3smcXVvdDtjb2x1bW5Db3VudCZxdW90OzoxOSwmcXVvdDtrZXlDb2x1bW5OYW1lcyZxdW90OzpbXSwmcXVvdDtxdWVyeVJlbGF0aW9uc2hpcHMmcXVvdDs6W10sJnF1b3Q7Y29sdW1uSWRlbnRpdGllcyZxdW90OzpbJnF1b3Q7U2VjdGlvbjEvQWxsX3NlcV9kYXRhL0F1dG9SZW1vdmVkQ29sdW1uczEue1BsYXRmb3JtLDB9JnF1b3Q7LCZxdW90O1NlY3Rpb24xL0FsbF9zZXFfZGF0YS9BdXRvUmVtb3ZlZENvbHVtbnMxLntTYW1wbGUsMX0mcXVvdDssJnF1b3Q7U2VjdGlvbjEvQWxsX3NlcV9kYXRhL0F1dG9SZW1vdmVkQ29sdW1uczEue01hcmtlciwyfSZxdW90OywmcXVvdDtTZWN0aW9uMS9BbGxfc2VxX2RhdGEvQXV0b1JlbW92ZWRDb2x1bW5zMS57c3VwcG9ydF9yZWFkcywzfSZxdW90OywmcXVvdDtTZWN0aW9uMS9BbGxfc2VxX2RhdGEvQXV0b1JlbW92ZWRDb2x1bW5zMS57U2VxSUQsNH0mcXVvdDssJnF1b3Q7U2VjdGlvbjEvQWxsX3NlcV9kYXRhL0F1dG9SZW1vdmVkQ29sdW1uczEue1BoeWxvX0lELDV9JnF1b3Q7LCZxdW90O1NlY3Rpb24xL0FsbF9zZXFfZGF0YS9BdXRvUmVtb3ZlZENvbHVtbnMxLntTZXF1ZW5jZSw2fSZxdW90OywmcXVvdDtTZWN0aW9uMS9BbGxfc2VxX2RhdGEvQXV0b1JlbW92ZWRDb2x1bW5zMS57U2VxX2xlbiw3fSZxdW90OywmcXVvdDtTZWN0aW9uMS9BbGxfc2VxX2RhdGEvQXV0b1JlbW92ZWRDb2x1bW5zMS57Rm91bmRfTWFya2VyX0JMQVNULDh9JnF1b3Q7LCZxdW90O1NlY3Rpb24xL0FsbF9zZXFfZGF0YS9BdXRvUmVtb3ZlZENvbHVtbnMxLntQaWRlbnQsOX0mcXVvdDssJnF1b3Q7U2VjdGlvbjEvQWxsX3NlcV9kYXRhL0F1dG9SZW1vdmVkQ29sdW1uczEue0FsaWduTGVuZ3RoLDEwfSZxdW90OywmcXVvdDtTZWN0aW9uMS9BbGxfc2VxX2RhdGEvQXV0b1JlbW92ZWRDb2x1bW5zMS57QklUU2NvcmUsMTF9JnF1b3Q7LCZxdW90O1NlY3Rpb24xL0FsbF9zZXFfZGF0YS9BdXRvUmVtb3ZlZENvbHVtbnMxLntFdmFsdWUsMTJ9JnF1b3Q7LCZxdW90O1NlY3Rpb24xL0FsbF9zZXFfZGF0YS9BdXRvUmVtb3ZlZENvbHVtbnMxLntQaHlsdW0sMTN9JnF1b3Q7LCZxdW90O1NlY3Rpb24xL0FsbF9zZXFfZGF0YS9BdXRvUmVtb3ZlZENvbHVtbnMxLntDbGFzcywxNH0mcXVvdDssJnF1b3Q7U2VjdGlvbjEvQWxsX3NlcV9kYXRhL0F1dG9SZW1vdmVkQ29sdW1uczEue09yZGVyLDE1fSZxdW90OywmcXVvdDtTZWN0aW9uMS9BbGxfc2VxX2RhdGEvQXV0b1JlbW92ZWRDb2x1bW5zMS57RmFtaWx5LDE2fSZxdW90OywmcXVvdDtTZWN0aW9uMS9BbGxfc2VxX2RhdGEvQXV0b1JlbW92ZWRDb2x1bW5zMS57R2VudXMsMTd9JnF1b3Q7LCZxdW90O1NlY3Rpb24xL0FsbF9zZXFfZGF0YS9BdXRvUmVtb3ZlZENvbHVtbnMxLntTcGVjaWVzLDE4fSZxdW90O10sJnF1b3Q7Q29sdW1uQ291bnQmcXVvdDs6MTksJnF1b3Q7S2V5Q29sdW1uTmFtZXMmcXVvdDs6W10sJnF1b3Q7Q29sdW1uSWRlbnRpdGllcyZxdW90OzpbJnF1b3Q7U2VjdGlvbjEvQWxsX3NlcV9kYXRhL0F1dG9SZW1vdmVkQ29sdW1uczEue1BsYXRmb3JtLDB9JnF1b3Q7LCZxdW90O1NlY3Rpb24xL0FsbF9zZXFfZGF0YS9BdXRvUmVtb3ZlZENvbHVtbnMxLntTYW1wbGUsMX0mcXVvdDssJnF1b3Q7U2VjdGlvbjEvQWxsX3NlcV9kYXRhL0F1dG9SZW1vdmVkQ29sdW1uczEue01hcmtlciwyfSZxdW90OywmcXVvdDtTZWN0aW9uMS9BbGxfc2VxX2RhdGEvQXV0b1JlbW92ZWRDb2x1bW5zMS57c3VwcG9ydF9yZWFkcywzfSZxdW90OywmcXVvdDtTZWN0aW9uMS9BbGxfc2VxX2RhdGEvQXV0b1JlbW92ZWRDb2x1bW5zMS57U2VxSUQsNH0mcXVvdDssJnF1b3Q7U2VjdGlvbjEvQWxsX3NlcV9kYXRhL0F1dG9SZW1vdmVkQ29sdW1uczEue1BoeWxvX0lELDV9JnF1b3Q7LCZxdW90O1NlY3Rpb24xL0FsbF9zZXFfZGF0YS9BdXRvUmVtb3ZlZENvbHVtbnMxLntTZXF1ZW5jZSw2fSZxdW90OywmcXVvdDtTZWN0aW9uMS9BbGxfc2VxX2RhdGEvQXV0b1JlbW92ZWRDb2x1bW5zMS57U2VxX2xlbiw3fSZxdW90OywmcXVvdDtTZWN0aW9uMS9BbGxfc2VxX2RhdGEvQXV0b1JlbW92ZWRDb2x1bW5zMS57Rm91bmRfTWFya2VyX0JMQVNULDh9JnF1b3Q7LCZxdW90O1NlY3Rpb24xL0FsbF9zZXFfZGF0YS9BdXRvUmVtb3ZlZENvbHVtbnMxLntQaWRlbnQsOX0mcXVvdDssJnF1b3Q7U2VjdGlvbjEvQWxsX3NlcV9kYXRhL0F1dG9SZW1vdmVkQ29sdW1uczEue0FsaWduTGVuZ3RoLDEwfSZxdW90OywmcXVvdDtTZWN0aW9uMS9BbGxfc2VxX2RhdGEvQXV0b1JlbW92ZWRDb2x1bW5zMS57QklUU2NvcmUsMTF9JnF1b3Q7LCZxdW90O1NlY3Rpb24xL0FsbF9zZXFfZGF0YS9BdXRvUmVtb3ZlZENvbHVtbnMxLntFdmFsdWUsMTJ9JnF1b3Q7LCZxdW90O1NlY3Rpb24xL0FsbF9zZXFfZGF0YS9BdXRvUmVtb3ZlZENvbHVtbnMxLntQaHlsdW0sMTN9JnF1b3Q7LCZxdW90O1NlY3Rpb24xL0FsbF9zZXFfZGF0YS9BdXRvUmVtb3ZlZENvbHVtbnMxLntDbGFzcywxNH0mcXVvdDssJnF1b3Q7U2VjdGlvbjEvQWxsX3NlcV9kYXRhL0F1dG9SZW1vdmVkQ29sdW1uczEue09yZGVyLDE1fSZxdW90OywmcXVvdDtTZWN0aW9uMS9BbGxfc2VxX2RhdGEvQXV0b1JlbW92ZWRDb2x1bW5zMS57RmFtaWx5LDE2fSZxdW90OywmcXVvdDtTZWN0aW9uMS9BbGxfc2VxX2RhdGEvQXV0b1JlbW92ZWRDb2x1bW5zMS57R2VudXMsMTd9JnF1b3Q7LCZxdW90O1NlY3Rpb24xL0FsbF9zZXFfZGF0YS9BdXRvUmVtb3ZlZENvbHVtbnMxLntTcGVjaWVzLDE4fSZxdW90O10sJnF1b3Q7UmVsYXRpb25zaGlwSW5mbyZxdW90OzpbXX0iIC8+PC9TdGFibGVFbnRyaWVzPjwvSXRlbT48SXRlbT48SXRlbUxvY2F0aW9uPjxJdGVtVHlwZT5Gb3JtdWxhPC9JdGVtVHlwZT48SXRlbVBhdGg+U2VjdGlvbjEvQWxsX3NlcV9kYXRhL1NvdXJjZTwvSXRlbVBhdGg+PC9JdGVtTG9jYXRpb24+PFN0YWJsZUVudHJpZXMgLz48L0l0ZW0+PEl0ZW0+PEl0ZW1Mb2NhdGlvbj48SXRlbVR5cGU+Rm9ybXVsYTwvSXRlbVR5cGU+PEl0ZW1QYXRoPlNlY3Rpb24xL0FsbF9zZXFfZGF0YS9Qcm9tb3RlZCUyMGhlYWRlcnM8L0l0ZW1QYXRoPjwvSXRlbUxvY2F0aW9uPjxTdGFibGVFbnRyaWVzIC8+PC9JdGVtPjxJdGVtPjxJdGVtTG9jYXRpb24+PEl0ZW1UeXBlPkZvcm11bGE8L0l0ZW1UeXBlPjxJdGVtUGF0aD5TZWN0aW9uMS9BbGxfc2VxX2RhdGEvQ2hhbmdlZCUyMGNvbHVtbiUyMHR5cGU8L0l0ZW1QYXRoPjwvSXRlbUxvY2F0aW9uPjxTdGFibGVFbnRyaWVzIC8+PC9JdGVtPjwvSXRlbXM+PC9Mb2NhbFBhY2thZ2VNZXRhZGF0YUZpbGU+FgAAAFBLBQYAAAAAAAAAAAAAAAAAAAAAAABkAAAAaRtSFoWeKYYAHKxPiC3Vl3vJEMJCeaGfocpR0zTfKJJLM7G0lxWdrBhHgvrgjVhqpTPueZJCQsUEu0eTnf44TP+eHBoQ0EJg0xGpi9BVBJiEuqsEs30Wr9btdnNsOo6HpMYBZg==</DataMashup>
</file>

<file path=customXml/itemProps1.xml><?xml version="1.0" encoding="utf-8"?>
<ds:datastoreItem xmlns:ds="http://schemas.openxmlformats.org/officeDocument/2006/customXml" ds:itemID="{4EDD9ECD-E721-5F4A-9E58-7DF722BF97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3927f91-cda1-4696-af89-8c9f1ceffa91}" enabled="0" method="" siteId="{a3927f91-cda1-4696-af89-8c9f1ceffa9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387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2026-02-21T01:31:36Z</dcterms:created>
  <dc:creator>Edouard Jean-Luc Lucien Bessette</dc:creator>
  <dc:description/>
  <dc:language>en-US</dc:language>
  <cp:lastModifiedBy/>
  <dcterms:modified xsi:type="dcterms:W3CDTF">2026-09-12T18:48:30Z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